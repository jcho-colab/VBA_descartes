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31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32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33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34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S_project\VBA Descartes\"/>
    </mc:Choice>
  </mc:AlternateContent>
  <xr:revisionPtr revIDLastSave="0" documentId="13_ncr:1_{964BD0F3-BE40-4833-B1D2-115E5A2E8AF6}" xr6:coauthVersionLast="47" xr6:coauthVersionMax="47" xr10:uidLastSave="{00000000-0000-0000-0000-000000000000}"/>
  <bookViews>
    <workbookView xWindow="348" yWindow="828" windowWidth="21672" windowHeight="11244" xr2:uid="{5A0F0921-8152-4932-9AE1-22D1853D8EC2}"/>
  </bookViews>
  <sheets>
    <sheet name="Menu" sheetId="6" r:id="rId1"/>
    <sheet name="Config" sheetId="9" r:id="rId2"/>
    <sheet name="DTR" sheetId="11" r:id="rId3"/>
    <sheet name="NOM" sheetId="2" r:id="rId4"/>
    <sheet name="Definitions" sheetId="4" r:id="rId5"/>
    <sheet name="ZD14" sheetId="8" r:id="rId6"/>
    <sheet name="CAPDR" sheetId="12" r:id="rId7"/>
    <sheet name="MX6Digits" sheetId="13" r:id="rId8"/>
    <sheet name="ZZDE" sheetId="10" r:id="rId9"/>
    <sheet name="ZZDF" sheetId="7" r:id="rId10"/>
    <sheet name="ZD14Test" sheetId="14" r:id="rId11"/>
  </sheets>
  <functionGroups builtInGroupCount="19"/>
  <definedNames>
    <definedName name="_xleta.IF" hidden="1" xlm="1">#NAME?</definedName>
    <definedName name="auCountryCode">Config!$B$3</definedName>
    <definedName name="auMainCG">Config!$B$4</definedName>
    <definedName name="brCountryCode">Config!$F$3</definedName>
    <definedName name="brMainCG">Config!$F$4</definedName>
    <definedName name="caCountryCode">Config!$J$3</definedName>
    <definedName name="caMainCG">Config!$J$4</definedName>
    <definedName name="Country">Menu!$F$6</definedName>
    <definedName name="DonnéesExternes_1" localSheetId="5" hidden="1">'ZD14'!$A$5:$AG$6</definedName>
    <definedName name="DonnéesExternes_1" localSheetId="8" hidden="1">ZZDE!$A$5:$AU$6</definedName>
    <definedName name="DonnéesExternes_1" localSheetId="9" hidden="1">ZZDF!$A$5:$Z$6</definedName>
    <definedName name="DonnéesExternes_2" localSheetId="6" hidden="1">'CAPDR'!$A$5:$AG$6</definedName>
    <definedName name="DonnéesExternes_3" localSheetId="7" hidden="1">MX6Digits!$A$5:$AG$6</definedName>
    <definedName name="ErrorDTR">Menu!$E$14</definedName>
    <definedName name="ErrorNOM">Menu!$E$15</definedName>
    <definedName name="euCountryCode">Config!$N$3</definedName>
    <definedName name="euMainCG">Config!$N$4</definedName>
    <definedName name="LastCleansingDTR">Menu!$C$7</definedName>
    <definedName name="LastCleansingNOM">Menu!$C$13</definedName>
    <definedName name="LastGenOutput">Menu!$C$19</definedName>
    <definedName name="LastImportDTR">Menu!$C$4</definedName>
    <definedName name="LastImportNOM">Menu!$C$10</definedName>
    <definedName name="LastImportTXT">Menu!$C$16</definedName>
    <definedName name="MainCG">Menu!$F$7</definedName>
    <definedName name="MaxCSV">Menu!$F$10</definedName>
    <definedName name="MinChapter">Menu!$F$9</definedName>
    <definedName name="mxCountryCode">Config!$R$3</definedName>
    <definedName name="mxMainCG">Config!$R$4</definedName>
    <definedName name="nzCountryCode">Config!$V$3</definedName>
    <definedName name="nzMainCG">Config!$V$4</definedName>
    <definedName name="ruCountryCode">Config!$Z$3</definedName>
    <definedName name="ruMainCG">Config!$Z$4</definedName>
    <definedName name="usCountryCode">Config!$AD$3</definedName>
    <definedName name="usMainCG">Config!$AD$4</definedName>
    <definedName name="vnCountryCode">Config!$AH$3</definedName>
    <definedName name="vnMainCG">Config!$AH$4</definedName>
    <definedName name="Year">Menu!$F$8</definedName>
    <definedName name="ZD14Date">Menu!$F$11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9" l="1" a="1"/>
  <c r="AH4" i="9" s="1"/>
  <c r="F7" i="6" s="1"/>
  <c r="AD4" i="9" l="1" a="1"/>
  <c r="AD4" i="9" s="1"/>
  <c r="Z4" i="9" a="1"/>
  <c r="Z4" i="9" s="1"/>
  <c r="V4" i="9" a="1"/>
  <c r="V4" i="9" s="1"/>
  <c r="R4" i="9" a="1"/>
  <c r="R4" i="9" s="1"/>
  <c r="N4" i="9" a="1"/>
  <c r="N4" i="9" s="1"/>
  <c r="J4" i="9" a="1"/>
  <c r="J4" i="9" s="1"/>
  <c r="F4" i="9" a="1"/>
  <c r="F4" i="9" s="1"/>
  <c r="B4" i="9" a="1"/>
  <c r="B4" i="9" s="1"/>
  <c r="B2" i="11" l="1"/>
  <c r="C2" i="11"/>
  <c r="E15" i="6"/>
  <c r="E14" i="6"/>
  <c r="L4" i="6"/>
  <c r="J4" i="6"/>
  <c r="H4" i="6"/>
  <c r="C2" i="2"/>
  <c r="B2" i="2"/>
  <c r="G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90AF5D-4EAE-4306-839C-177F22BE9C0A}" name="HSNZ_IMP_EN_TXT_I_00035001001" type="4" refreshedVersion="0" deleted="1" background="1">
    <webPr xml="1" sourceData="1" url="S:\Shared\Finances\Douane\Projets\2022_23_640_Automation tarriff update ECC\Dossier PL\US\v00165\XML\HSUS_IMP_EN_TXT_I_00165001001.xml" htmlTables="1" htmlFormat="all"/>
  </connection>
  <connection id="2" xr16:uid="{999B2BB7-2283-4A38-9D75-614E76590B92}" name="HSUS_IMP_EN_DTR_I_001650010282" type="4" refreshedVersion="0" deleted="1" background="1">
    <webPr xml="1" sourceData="1" url="S:\Shared\Finances\Douane\Projets\2022_23_640_Automation tarriff update ECC\Dossier PL\US\v00165\XML\HSUS_IMP_EN_DTR_I_00165001028.xml" htmlTables="1" htmlFormat="all"/>
  </connection>
  <connection id="3" xr16:uid="{32855EC1-076A-47B9-98F4-82FDF4B53945}" name="HSUS_IMP_EN_NOM_I_001650010042" type="4" refreshedVersion="0" deleted="1" background="1">
    <webPr xml="1" sourceData="1" url="file:///S:/Shared/Finances/Douane/Projets/2022_23_640_Automation%20tarriff%20update%20ECC/Dossier%20PL/US/v00165/XML/HSUS_IMP_EN_NOM_I_00165001004.xml" htmlTables="1" htmlFormat="all"/>
  </connection>
  <connection id="4" xr16:uid="{6204DBD0-F510-4534-B30C-AC37523B95AF}" keepAlive="1" name="Requête - CAPDR" description="Connexion à la requête « CAPDR » dans le classeur." type="5" refreshedVersion="8" saveData="1">
    <dbPr connection="Provider=Microsoft.Mashup.OleDb.1;Data Source=$Workbook$;Location=CAPDR;Extended Properties=&quot;&quot;" command="SELECT * FROM [CAPDR]"/>
  </connection>
  <connection id="5" xr16:uid="{B717577F-3BB4-4DA8-B38B-3DA7468C9159}" keepAlive="1" name="Requête - MX6Digits" description="Connexion à la requête « MX6Digits » dans le classeur." type="5" refreshedVersion="8" saveData="1">
    <dbPr connection="Provider=Microsoft.Mashup.OleDb.1;Data Source=$Workbook$;Location=MX6Digits;Extended Properties=&quot;&quot;" command="SELECT * FROM [MX6Digits]"/>
  </connection>
  <connection id="6" xr16:uid="{87A0F68D-B409-42FE-BEB0-A24E1AC52147}" keepAlive="1" name="Requête - TableDTR" description="Connexion à la requête « TableDTR » dans le classeur." type="5" refreshedVersion="0" saveData="1">
    <dbPr connection="Provider=Microsoft.Mashup.OleDb.1;Data Source=$Workbook$;Location=TableDTR;Extended Properties=&quot;&quot;" command="SELECT * FROM [TableDTR]"/>
  </connection>
  <connection id="7" xr16:uid="{F4097235-14B5-4FBD-A764-7286CD62167F}" keepAlive="1" name="Requête - TableNOM" description="Connexion à la requête « TableNOM » dans le classeur." type="5" refreshedVersion="7" saveData="1">
    <dbPr connection="Provider=Microsoft.Mashup.OleDb.1;Data Source=$Workbook$;Location=TableNOM;Extended Properties=&quot;&quot;" command="SELECT * FROM [TableNOM]"/>
  </connection>
  <connection id="8" xr16:uid="{B77588E4-0C5E-48B6-B64A-B40FE762DA0D}" keepAlive="1" name="Requête - ZD14" description="Connexion à la requête « ZD14 » dans le classeur." type="5" refreshedVersion="8" saveData="1">
    <dbPr connection="Provider=Microsoft.Mashup.OleDb.1;Data Source=$Workbook$;Location=ZD14;Extended Properties=&quot;&quot;" command="SELECT * FROM [ZD14]"/>
  </connection>
  <connection id="9" xr16:uid="{FFB8530B-9D7E-4B13-A9B9-9F565AA688E3}" keepAlive="1" name="Requête - ZZDE" description="Connexion à la requête « ZZDE » dans le classeur." type="5" refreshedVersion="8" saveData="1">
    <dbPr connection="Provider=Microsoft.Mashup.OleDb.1;Data Source=$Workbook$;Location=ZZDE;Extended Properties=&quot;&quot;" command="SELECT * FROM [ZZDE]"/>
  </connection>
  <connection id="10" xr16:uid="{4E7D2E19-2773-410C-842E-687FF2F7EF70}" keepAlive="1" name="Requête - ZZDF" description="Connexion à la requête « ZZDF » dans le classeur." type="5" refreshedVersion="8" saveData="1">
    <dbPr connection="Provider=Microsoft.Mashup.OleDb.1;Data Source=$Workbook$;Location=ZZDF;Extended Properties=&quot;&quot;" command="SELECT * FROM [ZZDF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<sst xmlns="http://schemas.openxmlformats.org/spreadsheetml/2006/main" count="2731" uniqueCount="1515">
  <si>
    <t>valid_from</t>
  </si>
  <si>
    <t>valid_to</t>
  </si>
  <si>
    <t>id</t>
  </si>
  <si>
    <t>text</t>
  </si>
  <si>
    <t>CKG</t>
  </si>
  <si>
    <t>L</t>
  </si>
  <si>
    <t>NO</t>
  </si>
  <si>
    <t>DOZ</t>
  </si>
  <si>
    <t>PK</t>
  </si>
  <si>
    <t>T</t>
  </si>
  <si>
    <t>PFL</t>
  </si>
  <si>
    <t>BBL</t>
  </si>
  <si>
    <t>CYK</t>
  </si>
  <si>
    <t>GR</t>
  </si>
  <si>
    <t>PRS</t>
  </si>
  <si>
    <t>PCS</t>
  </si>
  <si>
    <t>LNM</t>
  </si>
  <si>
    <t>version</t>
  </si>
  <si>
    <t>version_date</t>
  </si>
  <si>
    <t>version_number</t>
  </si>
  <si>
    <t>upload_initial</t>
  </si>
  <si>
    <t>_DUS00</t>
  </si>
  <si>
    <t>_DUSB#</t>
  </si>
  <si>
    <t>_DUSC#</t>
  </si>
  <si>
    <t>_DUSF</t>
  </si>
  <si>
    <t>_DUSG</t>
  </si>
  <si>
    <t>_DUSH</t>
  </si>
  <si>
    <t>_DUSK#</t>
  </si>
  <si>
    <t>_DUSL#</t>
  </si>
  <si>
    <t>_DUSM</t>
  </si>
  <si>
    <t>_DUSQ</t>
  </si>
  <si>
    <t>_DUST1</t>
  </si>
  <si>
    <t>_DUST2</t>
  </si>
  <si>
    <t>_DUST3</t>
  </si>
  <si>
    <t>_DUSV</t>
  </si>
  <si>
    <t>_DUSW</t>
  </si>
  <si>
    <t>_DUSZ</t>
  </si>
  <si>
    <t>level_id</t>
  </si>
  <si>
    <t>text_element_id</t>
  </si>
  <si>
    <t>authority_id</t>
  </si>
  <si>
    <t>oga_code</t>
  </si>
  <si>
    <t>parent_id</t>
  </si>
  <si>
    <t>alternate_unit_1</t>
  </si>
  <si>
    <t>alternate_unit_2</t>
  </si>
  <si>
    <t>alternate_unit_3</t>
  </si>
  <si>
    <t>DE</t>
  </si>
  <si>
    <t>DS</t>
  </si>
  <si>
    <t>CGM</t>
  </si>
  <si>
    <t>KM3</t>
  </si>
  <si>
    <t>MWH</t>
  </si>
  <si>
    <t>GBQ</t>
  </si>
  <si>
    <t>CTN</t>
  </si>
  <si>
    <t>DPR</t>
  </si>
  <si>
    <t>SQ</t>
  </si>
  <si>
    <t>HUN</t>
  </si>
  <si>
    <t>DPC</t>
  </si>
  <si>
    <t>CAR</t>
  </si>
  <si>
    <t>AGG</t>
  </si>
  <si>
    <t>AUG</t>
  </si>
  <si>
    <t>PTG</t>
  </si>
  <si>
    <t>PDG</t>
  </si>
  <si>
    <t>RHG</t>
  </si>
  <si>
    <t>IRG</t>
  </si>
  <si>
    <t>OSG</t>
  </si>
  <si>
    <t>RUG</t>
  </si>
  <si>
    <t>FBM</t>
  </si>
  <si>
    <t>commodity_description</t>
  </si>
  <si>
    <t>official_description</t>
  </si>
  <si>
    <t>Total entries</t>
  </si>
  <si>
    <t>-</t>
  </si>
  <si>
    <t>US</t>
  </si>
  <si>
    <t>X</t>
  </si>
  <si>
    <t>Country</t>
  </si>
  <si>
    <t>HS Number</t>
  </si>
  <si>
    <t>Date from</t>
  </si>
  <si>
    <t>Date to</t>
  </si>
  <si>
    <t>Base rate %</t>
  </si>
  <si>
    <t>Rate amount</t>
  </si>
  <si>
    <t>Rate curr</t>
  </si>
  <si>
    <t>Spec App</t>
  </si>
  <si>
    <t>Cert Ori</t>
  </si>
  <si>
    <t>Cty Grp</t>
  </si>
  <si>
    <t>Champ24</t>
  </si>
  <si>
    <t>Champ25</t>
  </si>
  <si>
    <t>Rate type</t>
  </si>
  <si>
    <t>Restriction code</t>
  </si>
  <si>
    <t>Year</t>
  </si>
  <si>
    <t>Unit of measure</t>
  </si>
  <si>
    <t>Rate qty</t>
  </si>
  <si>
    <t>Rate qty uom</t>
  </si>
  <si>
    <t>Lang 1</t>
  </si>
  <si>
    <t>Lang 2</t>
  </si>
  <si>
    <t>ES</t>
  </si>
  <si>
    <t>Desc 1</t>
  </si>
  <si>
    <t>Desc 2</t>
  </si>
  <si>
    <t>Desc 3</t>
  </si>
  <si>
    <t>Desc 4</t>
  </si>
  <si>
    <t>Desc 5</t>
  </si>
  <si>
    <t>Desc 6</t>
  </si>
  <si>
    <t>Desc 7</t>
  </si>
  <si>
    <t>Desc 21</t>
  </si>
  <si>
    <t>Desc 22</t>
  </si>
  <si>
    <t>Desc 23</t>
  </si>
  <si>
    <t>Desc 24</t>
  </si>
  <si>
    <t>Desc 25</t>
  </si>
  <si>
    <t>Desc 26</t>
  </si>
  <si>
    <t>Desc 27</t>
  </si>
  <si>
    <t>Configuration</t>
  </si>
  <si>
    <t>Last Run</t>
  </si>
  <si>
    <t>SAP UOM</t>
  </si>
  <si>
    <t>Descartes UOM</t>
  </si>
  <si>
    <t>GRM</t>
  </si>
  <si>
    <t>HLT</t>
  </si>
  <si>
    <t>LPA</t>
  </si>
  <si>
    <t>LTR</t>
  </si>
  <si>
    <t>TMQ</t>
  </si>
  <si>
    <t>KNS</t>
  </si>
  <si>
    <t>MBQ</t>
  </si>
  <si>
    <t>KSD</t>
  </si>
  <si>
    <t>TSD</t>
  </si>
  <si>
    <t>SET</t>
  </si>
  <si>
    <t>GRO</t>
  </si>
  <si>
    <t>CTM</t>
  </si>
  <si>
    <t>N/A</t>
  </si>
  <si>
    <t>DZ</t>
  </si>
  <si>
    <t>BB</t>
  </si>
  <si>
    <t>BARR</t>
  </si>
  <si>
    <t>CBZA</t>
  </si>
  <si>
    <t>MLL</t>
  </si>
  <si>
    <t>PAR</t>
  </si>
  <si>
    <t>PROHIBIDA</t>
  </si>
  <si>
    <t>PZA</t>
  </si>
  <si>
    <t>CARAT</t>
  </si>
  <si>
    <t>*</t>
  </si>
  <si>
    <t>CU</t>
  </si>
  <si>
    <t>IU</t>
  </si>
  <si>
    <t>KG TSS</t>
  </si>
  <si>
    <t>L AL</t>
  </si>
  <si>
    <t>L AL AND L</t>
  </si>
  <si>
    <t>MC</t>
  </si>
  <si>
    <t>NR</t>
  </si>
  <si>
    <t>PR</t>
  </si>
  <si>
    <t>SM</t>
  </si>
  <si>
    <t>SR</t>
  </si>
  <si>
    <t>TH</t>
  </si>
  <si>
    <t>BDU OF 1089.6 KG</t>
  </si>
  <si>
    <t>GJ</t>
  </si>
  <si>
    <t>HBX</t>
  </si>
  <si>
    <t>HD</t>
  </si>
  <si>
    <t>HNK</t>
  </si>
  <si>
    <t>KTC</t>
  </si>
  <si>
    <t>L MS</t>
  </si>
  <si>
    <t>NO.</t>
  </si>
  <si>
    <t>PR.</t>
  </si>
  <si>
    <t>RLS</t>
  </si>
  <si>
    <t>TNE</t>
  </si>
  <si>
    <t>MÂ3</t>
  </si>
  <si>
    <t>MÂ2</t>
  </si>
  <si>
    <t>PST</t>
  </si>
  <si>
    <t>Metric</t>
  </si>
  <si>
    <t>Carat</t>
  </si>
  <si>
    <t>Piece</t>
  </si>
  <si>
    <t>Value</t>
  </si>
  <si>
    <t>Key</t>
  </si>
  <si>
    <t>AT</t>
  </si>
  <si>
    <t>BE</t>
  </si>
  <si>
    <t>BG</t>
  </si>
  <si>
    <t>CY</t>
  </si>
  <si>
    <t>CZ</t>
  </si>
  <si>
    <t>DK</t>
  </si>
  <si>
    <t>EE</t>
  </si>
  <si>
    <t>FI</t>
  </si>
  <si>
    <t>FR</t>
  </si>
  <si>
    <t>HR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</si>
  <si>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</si>
  <si>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</si>
  <si>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</si>
  <si>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</si>
  <si>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</si>
  <si>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</si>
  <si>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</si>
  <si>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</si>
  <si>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</si>
  <si>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</si>
  <si>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</si>
  <si>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</si>
  <si>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Country List</t>
  </si>
  <si>
    <t>Descartes CG</t>
  </si>
  <si>
    <t>full_description</t>
  </si>
  <si>
    <t>oga_description</t>
  </si>
  <si>
    <t>authority_description</t>
  </si>
  <si>
    <t>General Rate</t>
  </si>
  <si>
    <t>Malaysia Rate</t>
  </si>
  <si>
    <t>Singapore Rate</t>
  </si>
  <si>
    <t>Least Developed Countries Rate (LDC)</t>
  </si>
  <si>
    <t>United States of America Rate</t>
  </si>
  <si>
    <t>Thailand Rate</t>
  </si>
  <si>
    <t>Chile FTA</t>
  </si>
  <si>
    <t>AANZ Rate</t>
  </si>
  <si>
    <t>Korean Rate</t>
  </si>
  <si>
    <t>Japan Rate</t>
  </si>
  <si>
    <t>New Zealand Rate</t>
  </si>
  <si>
    <t>China FTA Rate</t>
  </si>
  <si>
    <t>Papua-New Guinea Rate</t>
  </si>
  <si>
    <t>Trans-Pacific Partnership Originating Goods</t>
  </si>
  <si>
    <t>Hong Kong FTA</t>
  </si>
  <si>
    <t>Peru FTA</t>
  </si>
  <si>
    <t>Indonesia FTA</t>
  </si>
  <si>
    <t>Forum Islands Rate</t>
  </si>
  <si>
    <t>Developed Countries Rate (DC)</t>
  </si>
  <si>
    <t>General system of Preference Rate (DCS)</t>
  </si>
  <si>
    <t>South East Asia regional Rate (DCT)</t>
  </si>
  <si>
    <t>Canada Rate</t>
  </si>
  <si>
    <t>AANZ Rate for ID only</t>
  </si>
  <si>
    <t>AANZ Rate for TH only</t>
  </si>
  <si>
    <t>AANZ Rate for MY only</t>
  </si>
  <si>
    <t>Regional Comprehensive Economic Partnership</t>
  </si>
  <si>
    <t>Economic Complementation Agreement No36 (AAP.CE36)</t>
  </si>
  <si>
    <t>Economic Complementation Agreement No62 (AAP.CE62)</t>
  </si>
  <si>
    <t>Economic Complementation Agreement No58 (AAP.CE58)</t>
  </si>
  <si>
    <t>Economic Complementation Agreement No59 (AAP.CE59)</t>
  </si>
  <si>
    <t>Latin American Integration Association preferential regional Rate (AR.PAR4)</t>
  </si>
  <si>
    <t>Partial Scope Agreements under article 25 Montevideo Treated No41 - Rice Agreement (AAP.A25TM41) - In quota</t>
  </si>
  <si>
    <t>Partial Scope Agreements under article 25 Montevideo Treated No38 (AAP.A25TM38)</t>
  </si>
  <si>
    <t>Economic Complementation Agreement No55 - Automobile Industry (AAP.CE55)</t>
  </si>
  <si>
    <t>Partial Scope Agreements under article 14 Montevideo Treated No6 (AAP.A14TM6)</t>
  </si>
  <si>
    <t>Partial Scope Agreements - Seed Interregional Trade (AAP.AG2)</t>
  </si>
  <si>
    <t>Economic Complementation Agreement No14  (AAP.CE14)</t>
  </si>
  <si>
    <t>Economic Complementation Agreement No18 - MERCOSUR (AAP.CE18)</t>
  </si>
  <si>
    <t>Regional Cooperation Agreement for Cultural, Educational and Scientific Areas (AR.CYT7)</t>
  </si>
  <si>
    <t>Regional Agreement for Market Opening (AR.AM1)</t>
  </si>
  <si>
    <t>Regional Agreement for Market Opening (AR.AM2)</t>
  </si>
  <si>
    <t>Economic Complementation Agreement No53 (AAP.CE53)</t>
  </si>
  <si>
    <t>Regional Agreement for Market Opening (AR.AM3)</t>
  </si>
  <si>
    <t>Partial Scope Agreements under article 14 Montevideo Treated No7 (AAP.A14TM7)</t>
  </si>
  <si>
    <t>Economic Complementation Agreement No2  (AAP.CE2)</t>
  </si>
  <si>
    <t>Free Trade Agreement Mercosur-India (MERCOSUR-India)</t>
  </si>
  <si>
    <t>Economic Complementation Agreement No35 (AAP.CE35)</t>
  </si>
  <si>
    <t>Free Trade Agreement Mercosur-Israel (MERCOSUR-Israel)</t>
  </si>
  <si>
    <t>Economic Complementation Agreement No69 (AAP.CE69)</t>
  </si>
  <si>
    <t>Economic Complementation Agreement No72 (AAP.CE72)</t>
  </si>
  <si>
    <t>Economic Complementation Agreement No74 - Brazil- Paraguay (AAP.CE74)</t>
  </si>
  <si>
    <t>Most Favoured Nations Rate (MFN)</t>
  </si>
  <si>
    <t>Caribbean Countries tariff Rate (CCCT)</t>
  </si>
  <si>
    <t>Costa Rica Rate (CCRFTA)</t>
  </si>
  <si>
    <t>Iceland Rate</t>
  </si>
  <si>
    <t>Norway Rate</t>
  </si>
  <si>
    <t>Switzerland and Liechtenstein Rate</t>
  </si>
  <si>
    <t>General System of Preference Rate (GPT)</t>
  </si>
  <si>
    <t>Peru Rate</t>
  </si>
  <si>
    <t>Canada-Colombia Rate</t>
  </si>
  <si>
    <t>Canada-Jordan Free Trade Agreement (CJFTA)</t>
  </si>
  <si>
    <t>Canada-Panama Free Trade Agreement</t>
  </si>
  <si>
    <t>Honduras-Canada FTA</t>
  </si>
  <si>
    <t>South Korea-Canada FTA</t>
  </si>
  <si>
    <t>Ukraine-Canada FTA</t>
  </si>
  <si>
    <t>EU-Canada FTA</t>
  </si>
  <si>
    <t>Least Developed Countries Rate (LDDC)</t>
  </si>
  <si>
    <t>Comprehensive and Progressive Agreement for Trans-Pacific Partnership Tariff</t>
  </si>
  <si>
    <t>USMCA-US RATE</t>
  </si>
  <si>
    <t>USMCA-MX RATE</t>
  </si>
  <si>
    <t>CA-UK FTA</t>
  </si>
  <si>
    <t>Australia Rate (AUT)</t>
  </si>
  <si>
    <t>New Zealand Rate (NZT)</t>
  </si>
  <si>
    <t>Israel Rate (CIAT)</t>
  </si>
  <si>
    <t>Chile Rate (CT)</t>
  </si>
  <si>
    <t>_DALLTC</t>
  </si>
  <si>
    <t>_DEU</t>
  </si>
  <si>
    <t>_DHANDY</t>
  </si>
  <si>
    <t>_DIUUN</t>
  </si>
  <si>
    <t>_DLOOMS</t>
  </si>
  <si>
    <t>_DNOWTO</t>
  </si>
  <si>
    <t>_DSAVG</t>
  </si>
  <si>
    <t>_DWTO</t>
  </si>
  <si>
    <t>Israel Rate</t>
  </si>
  <si>
    <t>Pacific Alliance Agreement - Colombia Rates</t>
  </si>
  <si>
    <t>Pacific Alliance Agreement - Peru Rates</t>
  </si>
  <si>
    <t>Free Trade Agreement - Panama Rates</t>
  </si>
  <si>
    <t>Trans-Pacific Partnership Agreement (TPP) - Australia Rates</t>
  </si>
  <si>
    <t>Trans-Pacific Partnership Agreement (TPP) - Canada Rates</t>
  </si>
  <si>
    <t>Trans-Pacific Partnership Agreement (TPP) - Japan Rates</t>
  </si>
  <si>
    <t>Trans-Pacific Partnership Agreement (TPP) - New Zealand Rates</t>
  </si>
  <si>
    <t>Trans-Pacific Partnership Agreement (TPP) - Singapore Rates</t>
  </si>
  <si>
    <t>Trans-Pacific Partnership Agreement (TPP) - Vietnam Rates</t>
  </si>
  <si>
    <t>United States of America Rate (USMCA Rate)</t>
  </si>
  <si>
    <t>Canada Rate (USMCA)</t>
  </si>
  <si>
    <t>United Kigdom Rate (UK)</t>
  </si>
  <si>
    <t>Trans-Pacific Partnership Agreement (TPP) - Peru Rates</t>
  </si>
  <si>
    <t>Guatemala rates</t>
  </si>
  <si>
    <t>Nicaragua Rate</t>
  </si>
  <si>
    <t>El Salvador Rate</t>
  </si>
  <si>
    <t>Liechtenstein Rate</t>
  </si>
  <si>
    <t>Switzerland Rate</t>
  </si>
  <si>
    <t>Colombia Rate</t>
  </si>
  <si>
    <t>Uruguay rate</t>
  </si>
  <si>
    <t>Honduras Rate</t>
  </si>
  <si>
    <t>Costa Rica Rate</t>
  </si>
  <si>
    <t>Economic Complementation Agreement No55 (AAP.CE55)</t>
  </si>
  <si>
    <t>Economic Complementation Agreement No51 (AAP.CE51)</t>
  </si>
  <si>
    <t>Economic Complementation Agreement No29 (AAP.CE29)</t>
  </si>
  <si>
    <t>Economic Complementation Agreement No38 (AAP.CE38)</t>
  </si>
  <si>
    <t>Bolivia Rate</t>
  </si>
  <si>
    <t>Chile Rate</t>
  </si>
  <si>
    <t>Partial Scope Agreements under article 25 Montevideo Treated No38 (AAP.A25TM37)</t>
  </si>
  <si>
    <t>Economic Complementation Agreement No33 (AAP.CE33)</t>
  </si>
  <si>
    <t>Economic Complementation Agreement No41 (AAP.CE41)</t>
  </si>
  <si>
    <t>Economic Complementation Agreement No6 (AAP.CE6)</t>
  </si>
  <si>
    <t>Economic Complementation Agreement No60 (AAP.CE60)</t>
  </si>
  <si>
    <t>Economic Complementation Agreement No66 (AAP.CE66)</t>
  </si>
  <si>
    <t>European Community Rate (EU)</t>
  </si>
  <si>
    <t>Trade Integration Agreement Mexico-Peru</t>
  </si>
  <si>
    <t>Open Market Agreement - Bolivia Rates</t>
  </si>
  <si>
    <t>Open Market Agreement - Ecuador Rates</t>
  </si>
  <si>
    <t>Open Market Agreement - Paraguay Rates</t>
  </si>
  <si>
    <t>Partial Scope Agreements under article 25 Montevideo Treated No14 (AAP.A25TM14)</t>
  </si>
  <si>
    <t>Economic Complementation Agreement No67 (AAP.CE67)</t>
  </si>
  <si>
    <t>Pacific Alliance Agreement - Chile Rates</t>
  </si>
  <si>
    <t>Thailand rate</t>
  </si>
  <si>
    <t>Trans-Pacific Strategic Economic Partnership Agreement rate</t>
  </si>
  <si>
    <t>China Rate</t>
  </si>
  <si>
    <t>ASEAN Rate</t>
  </si>
  <si>
    <t>Malaysia</t>
  </si>
  <si>
    <t>Hong Kong rate</t>
  </si>
  <si>
    <t>Australia Rate</t>
  </si>
  <si>
    <t>Taiwan Rate</t>
  </si>
  <si>
    <t>Korea Rate</t>
  </si>
  <si>
    <t>Trans-Pacific Partnership Agreement</t>
  </si>
  <si>
    <t>PACER Plus</t>
  </si>
  <si>
    <t>Less Developed Countries Rate</t>
  </si>
  <si>
    <t>Least Developed Countries Rate</t>
  </si>
  <si>
    <t>Pacific Islands Rate</t>
  </si>
  <si>
    <t>Great Britain Rate</t>
  </si>
  <si>
    <t>Russian Sanction Rate</t>
  </si>
  <si>
    <t>Community of Independant States Rate (CIS)</t>
  </si>
  <si>
    <t>_DRU2</t>
  </si>
  <si>
    <t>Russia, Belarus, Kazhahkstan, Armenia Common Customs Tariff Rate</t>
  </si>
  <si>
    <t>_DRU24</t>
  </si>
  <si>
    <t>Free Trade Agreement Rates between the Eurasian Economic Union and its Member States and the Socialist Republic of Viet Nam</t>
  </si>
  <si>
    <t>_DRU25</t>
  </si>
  <si>
    <t>Free Trade Agreement Rates between the Eurasian Economic Union and its Member States and Islamic Republic of Iran</t>
  </si>
  <si>
    <t>_DRU26</t>
  </si>
  <si>
    <t>_DRU3</t>
  </si>
  <si>
    <t>_DRU4</t>
  </si>
  <si>
    <t>regulation</t>
  </si>
  <si>
    <t>Total versions #</t>
  </si>
  <si>
    <t>qualifier</t>
  </si>
  <si>
    <t>validity_begin</t>
  </si>
  <si>
    <t>validity_end</t>
  </si>
  <si>
    <t>country</t>
  </si>
  <si>
    <t>country_group</t>
  </si>
  <si>
    <t>hs</t>
  </si>
  <si>
    <t>AU</t>
  </si>
  <si>
    <t>BR</t>
  </si>
  <si>
    <t>CA</t>
  </si>
  <si>
    <t>EU2</t>
  </si>
  <si>
    <t>MX10</t>
  </si>
  <si>
    <t>RUSC</t>
  </si>
  <si>
    <t>NZ</t>
  </si>
  <si>
    <t>brCountryCode</t>
  </si>
  <si>
    <t>caCountryCode</t>
  </si>
  <si>
    <t>euCountryCode</t>
  </si>
  <si>
    <t>mxCountryCode</t>
  </si>
  <si>
    <t>nzCountryCode</t>
  </si>
  <si>
    <t>ruCountryCode</t>
  </si>
  <si>
    <t>usCountryCode</t>
  </si>
  <si>
    <t>auCountryCode</t>
  </si>
  <si>
    <t>Minimum Chapter</t>
  </si>
  <si>
    <t>SI</t>
  </si>
  <si>
    <t>SK</t>
  </si>
  <si>
    <t>Maximum CSV</t>
  </si>
  <si>
    <t>freeRate_text</t>
  </si>
  <si>
    <t>specificRate_text</t>
  </si>
  <si>
    <t>specificRate_UOM</t>
  </si>
  <si>
    <t>specificRate_multiplier</t>
  </si>
  <si>
    <t>specificRate_currency</t>
  </si>
  <si>
    <t>adValoremRate_percentage</t>
  </si>
  <si>
    <t>adValoremRate_text</t>
  </si>
  <si>
    <t>specificRate_ratePerUOM</t>
  </si>
  <si>
    <t>compoundRate_text</t>
  </si>
  <si>
    <t>compoundRate_UOM</t>
  </si>
  <si>
    <t>compoundRate_multiplier</t>
  </si>
  <si>
    <t>compoundRate_currency</t>
  </si>
  <si>
    <t>compoundRate_ratePerUOM</t>
  </si>
  <si>
    <t>compoundRate_percentage</t>
  </si>
  <si>
    <t>complexRate_text</t>
  </si>
  <si>
    <t>KG</t>
  </si>
  <si>
    <t>M3</t>
  </si>
  <si>
    <t>K</t>
  </si>
  <si>
    <t>G</t>
  </si>
  <si>
    <t>M2</t>
  </si>
  <si>
    <t>KM</t>
  </si>
  <si>
    <t>M</t>
  </si>
  <si>
    <t>GRL</t>
  </si>
  <si>
    <t>CM2</t>
  </si>
  <si>
    <t>W</t>
  </si>
  <si>
    <t>JWL</t>
  </si>
  <si>
    <t>Comment</t>
  </si>
  <si>
    <t>usMainCG</t>
  </si>
  <si>
    <t>Main Country Group</t>
  </si>
  <si>
    <t>nzMainCG</t>
  </si>
  <si>
    <t>ruMainCG</t>
  </si>
  <si>
    <t>mxMainCG</t>
  </si>
  <si>
    <t>euMainCG</t>
  </si>
  <si>
    <t>auMainCG</t>
  </si>
  <si>
    <t>brMainCG</t>
  </si>
  <si>
    <t>caMainCG</t>
  </si>
  <si>
    <t>Special Customs processing fee for Canadian or Mexican import</t>
  </si>
  <si>
    <t>Generalized System of Preferences (GSP)</t>
  </si>
  <si>
    <t>GSP: EXCLUSN-CTRY USE COL1 RATE</t>
  </si>
  <si>
    <t>Generalized System of Preferences (Least developed nations)</t>
  </si>
  <si>
    <t>All Countries</t>
  </si>
  <si>
    <t>Australia Free Trade Agreement</t>
  </si>
  <si>
    <t>Automotive Product Trade Act (Canada only)</t>
  </si>
  <si>
    <t>Automotive Product Trade Act (Canada only) (NAFTA)</t>
  </si>
  <si>
    <t>United States-Bahrain Free Trade Agreement Implementation Act (UBFTA)</t>
  </si>
  <si>
    <t>Agreement on Trade in Civil Aircraft (column 1 countries only)</t>
  </si>
  <si>
    <t>Canadian Rate under U.S.-Mexico-Canada Agreement (USMCA)</t>
  </si>
  <si>
    <t>Chile Free Trade Agreement</t>
  </si>
  <si>
    <t>China Additional duty</t>
  </si>
  <si>
    <t>Colombia Free Trade Agreement</t>
  </si>
  <si>
    <t>African Growth and Opprortunity Act (AGOA)</t>
  </si>
  <si>
    <t>Caribbean Basin Initiative (CBI)</t>
  </si>
  <si>
    <t>Certain countries or products excluded from CBI eligibility</t>
  </si>
  <si>
    <t>Embargo Rate</t>
  </si>
  <si>
    <t>Certified hand-loomed or folklore products</t>
  </si>
  <si>
    <t>Made to measure Hong Kong suits</t>
  </si>
  <si>
    <t>Special regime commodity</t>
  </si>
  <si>
    <t>Isreal Free Trade Area Implementation Act</t>
  </si>
  <si>
    <t>Israel Free Trade Area Agreement</t>
  </si>
  <si>
    <t>Andean Trade Preference Act (ATPA)</t>
  </si>
  <si>
    <t>Certain products excluded from ATPA eligibility</t>
  </si>
  <si>
    <t>Andean Trade Promotion and Drug Eradiction Act (ATPDEA)</t>
  </si>
  <si>
    <t>Jordan Free Trade Agreement</t>
  </si>
  <si>
    <t>Trade Agreement Between the United States and Japan</t>
  </si>
  <si>
    <t>Pharmaceutical Products</t>
  </si>
  <si>
    <t>Pharmaceutical Products (NAFTA)</t>
  </si>
  <si>
    <t>Korea Free Trade Agreement</t>
  </si>
  <si>
    <t>Concessions on Intermediate Chemicals for Dyes</t>
  </si>
  <si>
    <t>Concessions on Intermediate Chemicals for Dyes-NAFTA</t>
  </si>
  <si>
    <t>Fashion samples and Chinese floor</t>
  </si>
  <si>
    <t>Morocco Free Trade Agreement Implementation Act</t>
  </si>
  <si>
    <t>Mexican Rate under U.S.-Mexico-Canada Agreement (USMCA)</t>
  </si>
  <si>
    <t>Nepal Rate</t>
  </si>
  <si>
    <t>United States-Oman Free Trade Agreement Implementation Act</t>
  </si>
  <si>
    <t>Dominican Republic-Central America-United States Free Trade Agreement (DR-CAFTA)</t>
  </si>
  <si>
    <t>United States-Panama Trade Promotion Agreement</t>
  </si>
  <si>
    <t>United States-Peru Trade Promotion Agreement</t>
  </si>
  <si>
    <t>Expired GSP (For ACS database only)</t>
  </si>
  <si>
    <t>Carribean Basin Trade Partnership Act (CBTPA)</t>
  </si>
  <si>
    <t>Outward Processing Program for textiles and apparel (eff. 01/2000)</t>
  </si>
  <si>
    <t>Qualifying U.S.-Mexico-Canada Agreement (USMCA) Commodities</t>
  </si>
  <si>
    <t>Singapore Free Trade Agreement</t>
  </si>
  <si>
    <t>African Growth &amp; Opportunity Act (AGOA)(Textiles; NYSTC-Def)</t>
  </si>
  <si>
    <t>Carribbean Basin Trade Partnership Act (CBTPA)(Textiles; NYSTC-Defined)</t>
  </si>
  <si>
    <t>Andean Trade Promotion &amp; Drug Eradication Act (ATPDEA)(Textiles; NYSTC-Defined)</t>
  </si>
  <si>
    <t>Set Components</t>
  </si>
  <si>
    <t>Products of Puerto Rico</t>
  </si>
  <si>
    <t>Marshall Islands &amp; Federated States of Micronesia Compact of Free Association Act</t>
  </si>
  <si>
    <t>3rd</t>
  </si>
  <si>
    <t>Description</t>
  </si>
  <si>
    <t>remove</t>
  </si>
  <si>
    <t>keep</t>
  </si>
  <si>
    <t>Pacific Agreement on Closer Economic Relations</t>
  </si>
  <si>
    <t>All third countries</t>
  </si>
  <si>
    <t>Central America</t>
  </si>
  <si>
    <t>CARIFORUM</t>
  </si>
  <si>
    <t>Countries subject to safeguard measures</t>
  </si>
  <si>
    <t>European Economic Area</t>
  </si>
  <si>
    <t>European Economic Area  -  Iceland</t>
  </si>
  <si>
    <t>Economic Partnership Agreements</t>
  </si>
  <si>
    <t>Eastern and Southern Africa States</t>
  </si>
  <si>
    <t>European Union</t>
  </si>
  <si>
    <t>EU-Canada agreement: re-imported goods</t>
  </si>
  <si>
    <t>Certain handicraft products (Handicrafts)</t>
  </si>
  <si>
    <t>Non-cooperating countries in fighting illegal, unreported and unregulated fishing</t>
  </si>
  <si>
    <t>OCTs (Overseas Countries and Territories)</t>
  </si>
  <si>
    <t>Silk or cotton handloom products</t>
  </si>
  <si>
    <t>Countries not members of the WTO</t>
  </si>
  <si>
    <t>SADC EPA</t>
  </si>
  <si>
    <t>GSP (R 12/978) - Annex IV</t>
  </si>
  <si>
    <t>GSP+ (incentive arrangement for sustainable development and good governance)</t>
  </si>
  <si>
    <t>GSP (R 12/978) - General arrangements</t>
  </si>
  <si>
    <t>EU-Switzerland agreement: re-imported goods</t>
  </si>
  <si>
    <t>ERGA OMNES</t>
  </si>
  <si>
    <t>Western Balkan countries (AL, BA, ME, MK, XK, XS)</t>
  </si>
  <si>
    <t>Member countries of WTO</t>
  </si>
  <si>
    <t>KWH</t>
  </si>
  <si>
    <t>Issues:</t>
  </si>
  <si>
    <t>ZD14 Date From</t>
  </si>
  <si>
    <t>DTR File List</t>
  </si>
  <si>
    <t>NOM File List</t>
  </si>
  <si>
    <t>TXT File List</t>
  </si>
  <si>
    <t>NMB</t>
  </si>
  <si>
    <t>KGM</t>
  </si>
  <si>
    <t>DZN</t>
  </si>
  <si>
    <t>MIL</t>
  </si>
  <si>
    <t>MTQ</t>
  </si>
  <si>
    <t>MTK</t>
  </si>
  <si>
    <t>MTR</t>
  </si>
  <si>
    <t>NAP</t>
  </si>
  <si>
    <t>Country only</t>
  </si>
  <si>
    <t>Trans-Pacific Partnership Agreement (TPP) - Malaysia Rates</t>
  </si>
  <si>
    <t>NAR</t>
  </si>
  <si>
    <t>MTQC</t>
  </si>
  <si>
    <t>TJO</t>
  </si>
  <si>
    <t>KPP</t>
  </si>
  <si>
    <t>KSH</t>
  </si>
  <si>
    <t>KPH</t>
  </si>
  <si>
    <t>KUR</t>
  </si>
  <si>
    <t>GFI</t>
  </si>
  <si>
    <t>KMA</t>
  </si>
  <si>
    <t>KNI</t>
  </si>
  <si>
    <t>KPO</t>
  </si>
  <si>
    <t>NPR</t>
  </si>
  <si>
    <t>NCL</t>
  </si>
  <si>
    <t>CCT</t>
  </si>
  <si>
    <t>CEN</t>
  </si>
  <si>
    <t>KGME</t>
  </si>
  <si>
    <t>TCO2</t>
  </si>
  <si>
    <t>CM</t>
  </si>
  <si>
    <t>UN</t>
  </si>
  <si>
    <t>MWHORA</t>
  </si>
  <si>
    <t>PARES</t>
  </si>
  <si>
    <t>1000UN</t>
  </si>
  <si>
    <t>QUILAT</t>
  </si>
  <si>
    <t>DUZIA</t>
  </si>
  <si>
    <t>TON</t>
  </si>
  <si>
    <t>METRO</t>
  </si>
  <si>
    <t>country_text_element_id</t>
  </si>
  <si>
    <t>LMS</t>
  </si>
  <si>
    <t>GIG</t>
  </si>
  <si>
    <t>NRL</t>
  </si>
  <si>
    <t>BDU</t>
  </si>
  <si>
    <t>NMP</t>
  </si>
  <si>
    <t>Cl.</t>
  </si>
  <si>
    <t>Can HS No.</t>
  </si>
  <si>
    <t>MFN %</t>
  </si>
  <si>
    <t>MFN $</t>
  </si>
  <si>
    <t>GPT %</t>
  </si>
  <si>
    <t>GPT $</t>
  </si>
  <si>
    <t>UST %</t>
  </si>
  <si>
    <t>UST $</t>
  </si>
  <si>
    <t>MEX %</t>
  </si>
  <si>
    <t>MEX $</t>
  </si>
  <si>
    <t>OTH %</t>
  </si>
  <si>
    <t>OTH $</t>
  </si>
  <si>
    <t>OTH1 %</t>
  </si>
  <si>
    <t>OTH1 $</t>
  </si>
  <si>
    <t>OTH2 %</t>
  </si>
  <si>
    <t>OTH2 $</t>
  </si>
  <si>
    <t>2450 %</t>
  </si>
  <si>
    <t>2450 $</t>
  </si>
  <si>
    <t>2460 %</t>
  </si>
  <si>
    <t>2460 $</t>
  </si>
  <si>
    <t>2475 %</t>
  </si>
  <si>
    <t>2475 $</t>
  </si>
  <si>
    <t>FREE %</t>
  </si>
  <si>
    <t>FREE $</t>
  </si>
  <si>
    <t>OTH3 %</t>
  </si>
  <si>
    <t>OTH3 $</t>
  </si>
  <si>
    <t>OTH4 %</t>
  </si>
  <si>
    <t>OTH4 $</t>
  </si>
  <si>
    <t>OTH5 %</t>
  </si>
  <si>
    <t>OTH5 $</t>
  </si>
  <si>
    <t>OTH6 %</t>
  </si>
  <si>
    <t>OTH6 $</t>
  </si>
  <si>
    <t>OTH7 %</t>
  </si>
  <si>
    <t>OTH7 $</t>
  </si>
  <si>
    <t>UOM %</t>
  </si>
  <si>
    <t>UOM $</t>
  </si>
  <si>
    <t>STAT UOM</t>
  </si>
  <si>
    <t>STAT1 UOM</t>
  </si>
  <si>
    <t>STAT1 QTY</t>
  </si>
  <si>
    <t>STAT2 UOM</t>
  </si>
  <si>
    <t>STAT2 QTY</t>
  </si>
  <si>
    <t>Mex-US %</t>
  </si>
  <si>
    <t>Mex-US $</t>
  </si>
  <si>
    <t>Rest Cd</t>
  </si>
  <si>
    <t>OTH8 %</t>
  </si>
  <si>
    <t>OTH8 $</t>
  </si>
  <si>
    <t>US HS No.</t>
  </si>
  <si>
    <t>GEN %</t>
  </si>
  <si>
    <t>GEN $</t>
  </si>
  <si>
    <t>CAN %</t>
  </si>
  <si>
    <t>CAN $</t>
  </si>
  <si>
    <t>UMX %</t>
  </si>
  <si>
    <t>UMX $</t>
  </si>
  <si>
    <t>STAT QTY</t>
  </si>
  <si>
    <t>Restr</t>
  </si>
  <si>
    <t>DEG</t>
  </si>
  <si>
    <t>hs_flag</t>
  </si>
  <si>
    <t>duty_rate_type</t>
  </si>
  <si>
    <t>mn_id</t>
  </si>
  <si>
    <t>_DAU1 B001</t>
  </si>
  <si>
    <t>_DAU10 B004</t>
  </si>
  <si>
    <t>_DAU11 B004</t>
  </si>
  <si>
    <t>_DAU12 B004</t>
  </si>
  <si>
    <t>_DAU13 B004</t>
  </si>
  <si>
    <t>_DAU14 B004</t>
  </si>
  <si>
    <t>_DAU15 B004</t>
  </si>
  <si>
    <t>_DAU17 B004</t>
  </si>
  <si>
    <t>_DAU18 B004</t>
  </si>
  <si>
    <t>_DAU19 B004</t>
  </si>
  <si>
    <t>_DAU2 B004</t>
  </si>
  <si>
    <t>_DAU20 B004</t>
  </si>
  <si>
    <t>_DAU3 B004</t>
  </si>
  <si>
    <t>_DAU30 B004</t>
  </si>
  <si>
    <t>_DAU31 B004</t>
  </si>
  <si>
    <t>_DAU32 B004</t>
  </si>
  <si>
    <t>_DAU33 B004</t>
  </si>
  <si>
    <t>_DAU4 B004</t>
  </si>
  <si>
    <t>_DAU5 B004</t>
  </si>
  <si>
    <t>_DAU6 B004</t>
  </si>
  <si>
    <t>_DAU7 B004</t>
  </si>
  <si>
    <t>_DAU8 B004</t>
  </si>
  <si>
    <t>_DAU21 B004</t>
  </si>
  <si>
    <t>_DAU22 B004</t>
  </si>
  <si>
    <t>_DAU23 B004</t>
  </si>
  <si>
    <t>_DAU34 B004</t>
  </si>
  <si>
    <t>_DAU37 B004</t>
  </si>
  <si>
    <t>_DBR1 B001</t>
  </si>
  <si>
    <t>_DBR10 B004</t>
  </si>
  <si>
    <t>_DBR15 B004</t>
  </si>
  <si>
    <t>_DBR23 B004</t>
  </si>
  <si>
    <t>_DBR25 B004</t>
  </si>
  <si>
    <t>_DBR26 B004</t>
  </si>
  <si>
    <t>_DBR31 B004</t>
  </si>
  <si>
    <t>_DBR33 B004</t>
  </si>
  <si>
    <t>_DBR35 B004</t>
  </si>
  <si>
    <t>_DBR36 B004</t>
  </si>
  <si>
    <t>_DBR38 B004</t>
  </si>
  <si>
    <t>_DBR43 B004</t>
  </si>
  <si>
    <t>_DBR44 B004</t>
  </si>
  <si>
    <t>_DBR45 B004</t>
  </si>
  <si>
    <t>_DBR50 B004</t>
  </si>
  <si>
    <t>_DBR51 B004</t>
  </si>
  <si>
    <t>_DBR52 B004</t>
  </si>
  <si>
    <t>_DBR53 B004</t>
  </si>
  <si>
    <t>_DBR54 B004</t>
  </si>
  <si>
    <t>_DBR55 B004</t>
  </si>
  <si>
    <t>_DBR56 B004</t>
  </si>
  <si>
    <t>_DBR57 B004</t>
  </si>
  <si>
    <t>_DBR58 B004</t>
  </si>
  <si>
    <t>_DBR59 B004</t>
  </si>
  <si>
    <t>_DBR60 B004</t>
  </si>
  <si>
    <t>_DBR61 B004</t>
  </si>
  <si>
    <t>_DBR62 B004</t>
  </si>
  <si>
    <t>_DBR63 B004</t>
  </si>
  <si>
    <t>_DBR64 B004</t>
  </si>
  <si>
    <t>_DBR65 B004</t>
  </si>
  <si>
    <t>_DBR66 B004</t>
  </si>
  <si>
    <t>_DBR67 B004</t>
  </si>
  <si>
    <t>_DBR68 B004</t>
  </si>
  <si>
    <t>_DBR7 B004</t>
  </si>
  <si>
    <t>_DBR71 B004</t>
  </si>
  <si>
    <t>_DBR72 B004</t>
  </si>
  <si>
    <t>_DBR73 B004</t>
  </si>
  <si>
    <t>_DBR74 B004</t>
  </si>
  <si>
    <t>_DBR75 B004</t>
  </si>
  <si>
    <t>_DBR76 B004</t>
  </si>
  <si>
    <t>_DBR77 B004</t>
  </si>
  <si>
    <t>_DBR78 B004</t>
  </si>
  <si>
    <t>_DBR79 B004</t>
  </si>
  <si>
    <t>_DBR8 B004</t>
  </si>
  <si>
    <t>_DBR80 B004</t>
  </si>
  <si>
    <t>_DBR81 B004</t>
  </si>
  <si>
    <t>_DBR82 B004</t>
  </si>
  <si>
    <t>_DBR83 B004</t>
  </si>
  <si>
    <t>_DBR84 B004</t>
  </si>
  <si>
    <t>_DBR85 B004</t>
  </si>
  <si>
    <t>_DBR86 B004</t>
  </si>
  <si>
    <t>_DBR87 B004</t>
  </si>
  <si>
    <t>_DBR88 B004</t>
  </si>
  <si>
    <t>_DBR89 B004</t>
  </si>
  <si>
    <t>_DBR9 B004</t>
  </si>
  <si>
    <t>_DBR91 B004</t>
  </si>
  <si>
    <t>_DBR92 B004</t>
  </si>
  <si>
    <t>_DBR93 B004</t>
  </si>
  <si>
    <t>_DBR94 B004</t>
  </si>
  <si>
    <t>_DBR97 B004</t>
  </si>
  <si>
    <t>_DBR98 B004</t>
  </si>
  <si>
    <t>_DCA1 B002</t>
  </si>
  <si>
    <t>_DCA10 B004</t>
  </si>
  <si>
    <t>_DCA12 B001</t>
  </si>
  <si>
    <t>_DCA12 B009</t>
  </si>
  <si>
    <t>_DCA14 B004</t>
  </si>
  <si>
    <t>_DCA17 B004</t>
  </si>
  <si>
    <t>_DCA18 B004</t>
  </si>
  <si>
    <t>_DCA19 B004</t>
  </si>
  <si>
    <t>_DCA2 B004</t>
  </si>
  <si>
    <t>_DCA20 B004</t>
  </si>
  <si>
    <t>_DCA21 B004</t>
  </si>
  <si>
    <t>_DCA22 B004</t>
  </si>
  <si>
    <t>_DCA23 B004</t>
  </si>
  <si>
    <t>_DCA25 B004</t>
  </si>
  <si>
    <t>_DCA26 B004</t>
  </si>
  <si>
    <t>_DCA27 B004</t>
  </si>
  <si>
    <t>_DCA28 B004</t>
  </si>
  <si>
    <t>_DCA3 B004</t>
  </si>
  <si>
    <t>_DCA33 B004</t>
  </si>
  <si>
    <t>_DCA34 B004</t>
  </si>
  <si>
    <t>_DCA35 B004</t>
  </si>
  <si>
    <t>_DCA36 B004</t>
  </si>
  <si>
    <t>_DCA5 B004</t>
  </si>
  <si>
    <t>_DCA6 B004</t>
  </si>
  <si>
    <t>_DCA8 B004</t>
  </si>
  <si>
    <t>_DCA9 B004</t>
  </si>
  <si>
    <t>_DMX11 B001</t>
  </si>
  <si>
    <t>_DMX10 B004</t>
  </si>
  <si>
    <t>_DMX100 B004</t>
  </si>
  <si>
    <t>_DMX101 B004</t>
  </si>
  <si>
    <t>_DMX102 B004</t>
  </si>
  <si>
    <t>_DMX105 B004</t>
  </si>
  <si>
    <t>_DMX106 B004</t>
  </si>
  <si>
    <t>_DMX108 B004</t>
  </si>
  <si>
    <t>_DMX109 B004</t>
  </si>
  <si>
    <t>_DMX110 B004</t>
  </si>
  <si>
    <t>_DMX111 B004</t>
  </si>
  <si>
    <t>_DMX112 B004</t>
  </si>
  <si>
    <t>_DMX99 B004</t>
  </si>
  <si>
    <t>_DMX98 B004</t>
  </si>
  <si>
    <t>_DMX97 B004</t>
  </si>
  <si>
    <t>_DMX96 B004</t>
  </si>
  <si>
    <t>_DMX95 B004</t>
  </si>
  <si>
    <t>_DMX94 B004</t>
  </si>
  <si>
    <t>_DMX90 B004</t>
  </si>
  <si>
    <t>_DMX9 B004</t>
  </si>
  <si>
    <t>_DMX87 B004</t>
  </si>
  <si>
    <t>_DMX86 B004</t>
  </si>
  <si>
    <t>_DMX85 B004</t>
  </si>
  <si>
    <t>_DMX84 B004</t>
  </si>
  <si>
    <t>_DMX82 B004</t>
  </si>
  <si>
    <t>_DMX81 B004</t>
  </si>
  <si>
    <t>_DMX80 B004</t>
  </si>
  <si>
    <t>_DMX79 B004</t>
  </si>
  <si>
    <t>_DMX78 B004</t>
  </si>
  <si>
    <t>_DMX76 B004</t>
  </si>
  <si>
    <t>_DMX74 B004</t>
  </si>
  <si>
    <t>_DMX73 B004</t>
  </si>
  <si>
    <t>_DMX72 B004</t>
  </si>
  <si>
    <t>_DMX71 B004</t>
  </si>
  <si>
    <t>_DMX70 B004</t>
  </si>
  <si>
    <t>_DMX7 B004</t>
  </si>
  <si>
    <t>_DMX69 B004</t>
  </si>
  <si>
    <t>_DMX68 B004</t>
  </si>
  <si>
    <t>_DMX67 B004</t>
  </si>
  <si>
    <t>_DMX66 B004</t>
  </si>
  <si>
    <t>_DMX65 B004</t>
  </si>
  <si>
    <t>_DMX64 B004</t>
  </si>
  <si>
    <t>_DMX62 B004</t>
  </si>
  <si>
    <t>_DMX61 B004</t>
  </si>
  <si>
    <t>_DMX60 B004</t>
  </si>
  <si>
    <t>_DMX6 B004</t>
  </si>
  <si>
    <t>_DMX59 B004</t>
  </si>
  <si>
    <t>_DMX58 B004</t>
  </si>
  <si>
    <t>_DMX57 B004</t>
  </si>
  <si>
    <t>_DMX56 B004</t>
  </si>
  <si>
    <t>_DMX55 B004</t>
  </si>
  <si>
    <t>_DMX113 B004</t>
  </si>
  <si>
    <t>_DMX114 B004</t>
  </si>
  <si>
    <t>_DMX115 B004</t>
  </si>
  <si>
    <t>_DMX116 B004</t>
  </si>
  <si>
    <t>_DMX12 B004</t>
  </si>
  <si>
    <t>_DMX13 B004</t>
  </si>
  <si>
    <t>_DMX14 B004</t>
  </si>
  <si>
    <t>_DMX18 B004</t>
  </si>
  <si>
    <t>_DMX19 B004</t>
  </si>
  <si>
    <t>_DMX20 B004</t>
  </si>
  <si>
    <t>_DMX21 B004</t>
  </si>
  <si>
    <t>_DMX22 B004</t>
  </si>
  <si>
    <t>_DMX23 B004</t>
  </si>
  <si>
    <t>_DMX25 B004</t>
  </si>
  <si>
    <t>_DMX26 B004</t>
  </si>
  <si>
    <t>_DMX27 B004</t>
  </si>
  <si>
    <t>_DMX28 B004</t>
  </si>
  <si>
    <t>_DMX29 B004</t>
  </si>
  <si>
    <t>_DMX3 B004</t>
  </si>
  <si>
    <t>_DMX30 B004</t>
  </si>
  <si>
    <t>_DMX31 B004</t>
  </si>
  <si>
    <t>_DMX4 B004</t>
  </si>
  <si>
    <t>_DMX5 B004</t>
  </si>
  <si>
    <t>_DMX54 B004</t>
  </si>
  <si>
    <t>_DMX11 B009</t>
  </si>
  <si>
    <t>_DNZ1 B001</t>
  </si>
  <si>
    <t>_DNZ10 B004</t>
  </si>
  <si>
    <t>_DNZ11 B004</t>
  </si>
  <si>
    <t>_DNZ12 B004</t>
  </si>
  <si>
    <t>_DNZ13 B004</t>
  </si>
  <si>
    <t>_DNZ14 B004</t>
  </si>
  <si>
    <t>_DNZ16 B004</t>
  </si>
  <si>
    <t>_DNZ19 B004</t>
  </si>
  <si>
    <t>_DNZ2 B004</t>
  </si>
  <si>
    <t>_DNZ20 B004</t>
  </si>
  <si>
    <t>_DNZ21 B004</t>
  </si>
  <si>
    <t>_DNZ22 B004</t>
  </si>
  <si>
    <t>_DNZ23 B004</t>
  </si>
  <si>
    <t>_DNZ3 B004</t>
  </si>
  <si>
    <t>_DNZ4 B004</t>
  </si>
  <si>
    <t>_DNZ5 B004</t>
  </si>
  <si>
    <t>_DNZ6 B004</t>
  </si>
  <si>
    <t>_DNZ8 B004</t>
  </si>
  <si>
    <t>_DNZ25 B004</t>
  </si>
  <si>
    <t>_DNZ26 B004</t>
  </si>
  <si>
    <t>_DUSA B004</t>
  </si>
  <si>
    <t>_DUSA$ B004</t>
  </si>
  <si>
    <t>_DUSA+ B004</t>
  </si>
  <si>
    <t>_DUSALL B001</t>
  </si>
  <si>
    <t>_DUSALL B013</t>
  </si>
  <si>
    <t>_DUSAU B004</t>
  </si>
  <si>
    <t>_DUSB B004</t>
  </si>
  <si>
    <t>_DUSBH B004</t>
  </si>
  <si>
    <t>_DUSC B004</t>
  </si>
  <si>
    <t>_DUSCA B004</t>
  </si>
  <si>
    <t>_DUSCL B004</t>
  </si>
  <si>
    <t>_DUSCNA B013</t>
  </si>
  <si>
    <t>_DUSCO B004</t>
  </si>
  <si>
    <t>_DUSD B004</t>
  </si>
  <si>
    <t>_DUSE B004</t>
  </si>
  <si>
    <t>_DUSE$ B004</t>
  </si>
  <si>
    <t>_DUSEMB B009</t>
  </si>
  <si>
    <t>_DUSI B004</t>
  </si>
  <si>
    <t>_DUSIL B004</t>
  </si>
  <si>
    <t>_DUSJ B004</t>
  </si>
  <si>
    <t>_DUSJ$ B004</t>
  </si>
  <si>
    <t>_DUSJ+ B004</t>
  </si>
  <si>
    <t>_DUSJO B004</t>
  </si>
  <si>
    <t>_DUSJP B004</t>
  </si>
  <si>
    <t>_DUSK B004</t>
  </si>
  <si>
    <t>_DUSKR B004</t>
  </si>
  <si>
    <t>_DUSL B004</t>
  </si>
  <si>
    <t>_DUSMA B004</t>
  </si>
  <si>
    <t>_DUSMX B004</t>
  </si>
  <si>
    <t>_DUSNP B004</t>
  </si>
  <si>
    <t>_DUSOM B004</t>
  </si>
  <si>
    <t>_DUSP B004</t>
  </si>
  <si>
    <t>_DUSP+ B004</t>
  </si>
  <si>
    <t>_DUSPA B004</t>
  </si>
  <si>
    <t>_DUSPE B004</t>
  </si>
  <si>
    <t>_DUSR B004</t>
  </si>
  <si>
    <t>_DUSS B004</t>
  </si>
  <si>
    <t>_DUSS+ B004</t>
  </si>
  <si>
    <t>_DUSSG B004</t>
  </si>
  <si>
    <t>_DCAMER B060</t>
  </si>
  <si>
    <t>_DCARI B060</t>
  </si>
  <si>
    <t>_DDEF_SAVG B013</t>
  </si>
  <si>
    <t>_DEEA B060</t>
  </si>
  <si>
    <t>_DEEA_IS B060</t>
  </si>
  <si>
    <t>_DEPA B060</t>
  </si>
  <si>
    <t>_DESA B060</t>
  </si>
  <si>
    <t>_DEUCA B060</t>
  </si>
  <si>
    <t>_DLOMB B060</t>
  </si>
  <si>
    <t>_DSADC B060</t>
  </si>
  <si>
    <t>_DSPGA B060</t>
  </si>
  <si>
    <t>_DSPGE B060</t>
  </si>
  <si>
    <t>_DSPGL B060</t>
  </si>
  <si>
    <t>_DSWITZ B060</t>
  </si>
  <si>
    <t>_DWBC B060</t>
  </si>
  <si>
    <t>_DTOUT B050</t>
  </si>
  <si>
    <t>_DTOUT B051</t>
  </si>
  <si>
    <t>_DTOUT B013</t>
  </si>
  <si>
    <t>_DTOUT B071</t>
  </si>
  <si>
    <t>_DTOUT B080</t>
  </si>
  <si>
    <t xml:space="preserve">_DRU5 </t>
  </si>
  <si>
    <t>concat_cg_drt</t>
  </si>
  <si>
    <t>_DTOUT B070</t>
  </si>
  <si>
    <t>Duty_rate_type</t>
  </si>
  <si>
    <t>Definitions</t>
  </si>
  <si>
    <t>B000</t>
  </si>
  <si>
    <t>anti-dumping duty</t>
  </si>
  <si>
    <t>B001</t>
  </si>
  <si>
    <t>Third country duty / General rate</t>
  </si>
  <si>
    <t>B002</t>
  </si>
  <si>
    <t>MFN rate - Bound</t>
  </si>
  <si>
    <t>B003</t>
  </si>
  <si>
    <t>MFN rate - Applied</t>
  </si>
  <si>
    <t>B004</t>
  </si>
  <si>
    <t>Preferential rate</t>
  </si>
  <si>
    <t>B006</t>
  </si>
  <si>
    <t>Tariff suspension</t>
  </si>
  <si>
    <t>B007</t>
  </si>
  <si>
    <t>Provisional anti-dumping rate</t>
  </si>
  <si>
    <t>B008</t>
  </si>
  <si>
    <t>Pharmaceutical products</t>
  </si>
  <si>
    <t>B009</t>
  </si>
  <si>
    <t>Column 2 / Embargo rate</t>
  </si>
  <si>
    <t>B013</t>
  </si>
  <si>
    <t>Additional Duty</t>
  </si>
  <si>
    <t>B050</t>
  </si>
  <si>
    <t>Third country duty</t>
  </si>
  <si>
    <t>B051</t>
  </si>
  <si>
    <t>Conditional Third-Country Duty</t>
  </si>
  <si>
    <t>B060</t>
  </si>
  <si>
    <t>Preferential Customs Duty</t>
  </si>
  <si>
    <t>B070</t>
  </si>
  <si>
    <t>Suspension of Duty</t>
  </si>
  <si>
    <t>B071</t>
  </si>
  <si>
    <t>Conditional Suspension of Duty</t>
  </si>
  <si>
    <t>B080</t>
  </si>
  <si>
    <t>Anti-Dumping</t>
  </si>
  <si>
    <t>B081</t>
  </si>
  <si>
    <t>_DTOUT B081</t>
  </si>
  <si>
    <t>_DMX118 B004</t>
  </si>
  <si>
    <t>_DMX117 B004</t>
  </si>
  <si>
    <t>_DMX21 B009</t>
  </si>
  <si>
    <t>_DMX87 B009</t>
  </si>
  <si>
    <t>_DMX59 B009</t>
  </si>
  <si>
    <t>_DAU38 B004</t>
  </si>
  <si>
    <t>_DAU39 B004</t>
  </si>
  <si>
    <t>_DAU40 B004</t>
  </si>
  <si>
    <t>_DAU42 B004</t>
  </si>
  <si>
    <t xml:space="preserve">LA </t>
  </si>
  <si>
    <t>_DUSCA B013</t>
  </si>
  <si>
    <t>_DUSMX B013</t>
  </si>
  <si>
    <t>_DUSIEEPA B013</t>
  </si>
  <si>
    <t>_DUSRUA B013</t>
  </si>
  <si>
    <t>vnCountryCode</t>
  </si>
  <si>
    <t>VN</t>
  </si>
  <si>
    <t>vnMainCG</t>
  </si>
  <si>
    <t>_DVN1 B002</t>
  </si>
  <si>
    <t>Preferential Most Favored Nations Rate</t>
  </si>
  <si>
    <t>_DVN10 B004</t>
  </si>
  <si>
    <t>ASEAN-China Free Trade Agreement Rate</t>
  </si>
  <si>
    <t>_DVN100 B004</t>
  </si>
  <si>
    <t>ASEAN KOREA FTA (excl. LA,MM,MY,PH)</t>
  </si>
  <si>
    <t>_DVN102 B004</t>
  </si>
  <si>
    <t>ASEAN KOREA FTA (excl. LA,MY)</t>
  </si>
  <si>
    <t>_DVN104 B004</t>
  </si>
  <si>
    <t>ASEAN KOREA FTA (excl. LA,PH)</t>
  </si>
  <si>
    <t>_DVN105 B004</t>
  </si>
  <si>
    <t>ASEAN KOREA FTA (excl. MM)</t>
  </si>
  <si>
    <t>_DVN106 B004</t>
  </si>
  <si>
    <t>ASEAN KOREA FTA (excl. MM,MY)</t>
  </si>
  <si>
    <t>_DVN108 B004</t>
  </si>
  <si>
    <t>ASEAN KOREA FTA (excl. MM,MY,PH)</t>
  </si>
  <si>
    <t>_DVN109 B004</t>
  </si>
  <si>
    <t>ASEAN KOREA FTA (excl. MM,PH)</t>
  </si>
  <si>
    <t>_DVN11 B004</t>
  </si>
  <si>
    <t>AFTA + Korea Free Trade Agreement Rate (AKFTA)</t>
  </si>
  <si>
    <t>_DVN110 B004</t>
  </si>
  <si>
    <t>ASEAN KOREA FTA (excl. MY)</t>
  </si>
  <si>
    <t>_DVN111 B004</t>
  </si>
  <si>
    <t>ASEAN KOREA FTA (excl. MY,PH)</t>
  </si>
  <si>
    <t>_DVN112 B004</t>
  </si>
  <si>
    <t>ASEAN KOREA FTA (excl. PH)</t>
  </si>
  <si>
    <t>_DVN113 B004</t>
  </si>
  <si>
    <t>China FTA (excl. BN)</t>
  </si>
  <si>
    <t>_DVN114 B004</t>
  </si>
  <si>
    <t>China FTA (excl. BN,CN,ID,KH,MM,MY,PH)</t>
  </si>
  <si>
    <t>_DVN115 B004</t>
  </si>
  <si>
    <t>China FTA (excl. BN,CN,ID,KH,MM,MY,TH)</t>
  </si>
  <si>
    <t>_DVN116 B004</t>
  </si>
  <si>
    <t>China FTA (excl. BN,CN,ID,KH,MY)</t>
  </si>
  <si>
    <t>_DVN117 B004</t>
  </si>
  <si>
    <t>China FTA (excl. BN,CN,ID,LA,MM,MY,PH)</t>
  </si>
  <si>
    <t>_DVN118 B004</t>
  </si>
  <si>
    <t>China FTA (excl. BN,CN,ID,MM,MY,PH)</t>
  </si>
  <si>
    <t>_DVN119 B004</t>
  </si>
  <si>
    <t>China FTA (excl. BN,ID)</t>
  </si>
  <si>
    <t>_DVN12 B004</t>
  </si>
  <si>
    <t>ASEAN KOREA FTA (excl. BN)</t>
  </si>
  <si>
    <t>_DVN120 B004</t>
  </si>
  <si>
    <t>China FTA (excl. BN,ID,KH)</t>
  </si>
  <si>
    <t>_DVN121 B004</t>
  </si>
  <si>
    <t>China FTA (excl. BN,ID,KH,LA,MM,MY,PH,TH)</t>
  </si>
  <si>
    <t>_DVN122 B004</t>
  </si>
  <si>
    <t>China FTA (excl. BN,ID,KH,MM)</t>
  </si>
  <si>
    <t>_DVN123 B004</t>
  </si>
  <si>
    <t>China FTA (excl. BN,ID,KH,MM,MY)</t>
  </si>
  <si>
    <t>_DVN124 B004</t>
  </si>
  <si>
    <t>China FTA (excl. BN,ID,KH,MM,MY,PH,TH)</t>
  </si>
  <si>
    <t>_DVN125 B004</t>
  </si>
  <si>
    <t>China FTA (excl. BN,ID,KH,MM,PH)</t>
  </si>
  <si>
    <t>_DVN126 B004</t>
  </si>
  <si>
    <t>China FTA (excl. BN,ID,KH,PH)</t>
  </si>
  <si>
    <t>_DVN127 B004</t>
  </si>
  <si>
    <t>China FTA (excl. BN,ID,KH,PH,TH)</t>
  </si>
  <si>
    <t>_DVN128 B004</t>
  </si>
  <si>
    <t>China FTA (excl. BN,ID,LA,MM,MY,PH,TH)</t>
  </si>
  <si>
    <t>_DVN129 B004</t>
  </si>
  <si>
    <t>China FTA (excl. BN,ID,LA,PH)</t>
  </si>
  <si>
    <t>_DVN13 B004</t>
  </si>
  <si>
    <t>ASEAN KOREA FTA (excl. BN,ID,LA,MY,PH)</t>
  </si>
  <si>
    <t>_DVN130 B004</t>
  </si>
  <si>
    <t>China FTA (excl. BN,ID,MM)</t>
  </si>
  <si>
    <t>_DVN131 B004</t>
  </si>
  <si>
    <t>China FTA (excl. BN,ID,MM,MY,PH)</t>
  </si>
  <si>
    <t>_DVN132 B004</t>
  </si>
  <si>
    <t>China FTA (excl. BN,ID,MM,MY,PH,TH)</t>
  </si>
  <si>
    <t>_DVN133 B004</t>
  </si>
  <si>
    <t>China FTA (excl. BN,ID,MY,PH,TH)</t>
  </si>
  <si>
    <t>_DVN134 B004</t>
  </si>
  <si>
    <t>China FTA (excl. BN,ID,PH)</t>
  </si>
  <si>
    <t>_DVN135 B004</t>
  </si>
  <si>
    <t>China FTA (excl. BN,ID,PH,TH)</t>
  </si>
  <si>
    <t>_DVN136 B004</t>
  </si>
  <si>
    <t>China FTA (excl. BN,KH)</t>
  </si>
  <si>
    <t>_DVN137 B004</t>
  </si>
  <si>
    <t>China FTA (excl. BN,KH,MM)</t>
  </si>
  <si>
    <t>_DVN138 B004</t>
  </si>
  <si>
    <t>China FTA (excl. BN,KH,MY,TH)</t>
  </si>
  <si>
    <t>_DVN139 B004</t>
  </si>
  <si>
    <t>China FTA (excl. BN,KH,PH,TH)</t>
  </si>
  <si>
    <t>_DVN14 B004</t>
  </si>
  <si>
    <t>ASEAN KOREA FTA (excl. BN,KH)</t>
  </si>
  <si>
    <t>_DVN140 B004</t>
  </si>
  <si>
    <t>China FTA (excl. BN,KH,TH)</t>
  </si>
  <si>
    <t>_DVN141 B004</t>
  </si>
  <si>
    <t>China FTA (excl. BN,MM)</t>
  </si>
  <si>
    <t>_DVN142 B004</t>
  </si>
  <si>
    <t>China FTA (excl. BN,MM,MY)</t>
  </si>
  <si>
    <t>_DVN143 B004</t>
  </si>
  <si>
    <t>China FTA (excl. BN,MY,PH,TH)</t>
  </si>
  <si>
    <t>_DVN144 B004</t>
  </si>
  <si>
    <t>China FTA (excl. BN,MY,TH)</t>
  </si>
  <si>
    <t>_DVN145 B004</t>
  </si>
  <si>
    <t>China FTA (excl. BN,PH)</t>
  </si>
  <si>
    <t>_DVN146 B004</t>
  </si>
  <si>
    <t>China FTA (excl. BN,TH)</t>
  </si>
  <si>
    <t>_DVN147 B004</t>
  </si>
  <si>
    <t>China FTA (excl. CN)</t>
  </si>
  <si>
    <t>_DVN148 B004</t>
  </si>
  <si>
    <t>China FTA (excl. CN,ID)</t>
  </si>
  <si>
    <t>_DVN149 B004</t>
  </si>
  <si>
    <t>China FTA (excl. CN,ID,LA,MM,MY,PH,TH)</t>
  </si>
  <si>
    <t>_DVN15 B004</t>
  </si>
  <si>
    <t>ASEAN KOREA FTA (excl. BN,KH,LA)</t>
  </si>
  <si>
    <t>_DVN150 B004</t>
  </si>
  <si>
    <t>China FTA (excl. CN,ID,PH)</t>
  </si>
  <si>
    <t>_DVN151 B004</t>
  </si>
  <si>
    <t>China FTA (excl. CN,ID,PH,TH)</t>
  </si>
  <si>
    <t>_DVN152 B004</t>
  </si>
  <si>
    <t>China FTA (excl. CN,ID,TH)</t>
  </si>
  <si>
    <t>_DVN153 B004</t>
  </si>
  <si>
    <t>China FTA (excl. CN,KH)</t>
  </si>
  <si>
    <t>_DVN154 B004</t>
  </si>
  <si>
    <t>China FTA (excl. CN,KH,MM)</t>
  </si>
  <si>
    <t>_DVN155 B004</t>
  </si>
  <si>
    <t>China FTA (excl. CN,KH,TH)</t>
  </si>
  <si>
    <t>_DVN156 B004</t>
  </si>
  <si>
    <t>China FTA (excl. CN,MM)</t>
  </si>
  <si>
    <t>_DVN157 B004</t>
  </si>
  <si>
    <t>China FTA (excl. CN,MM,MY)</t>
  </si>
  <si>
    <t>_DVN158 B004</t>
  </si>
  <si>
    <t>China FTA (excl. CN,MM,TH)</t>
  </si>
  <si>
    <t>_DVN159 B004</t>
  </si>
  <si>
    <t>China FTA (excl. CN,MY)</t>
  </si>
  <si>
    <t>_DVN16 B004</t>
  </si>
  <si>
    <t>ASEAN KOREA FTA (excl. BN,KH,LA,MY)</t>
  </si>
  <si>
    <t>_DVN160 B004</t>
  </si>
  <si>
    <t>China FTA (excl. CN,MY,PH,TH)</t>
  </si>
  <si>
    <t>_DVN161 B004</t>
  </si>
  <si>
    <t>China FTA (excl. CN,PH)</t>
  </si>
  <si>
    <t>_DVN162 B004</t>
  </si>
  <si>
    <t>China FTA (excl. CN,PH,TH)</t>
  </si>
  <si>
    <t>_DVN163 B004</t>
  </si>
  <si>
    <t>China FTA (excl. CN,TH)</t>
  </si>
  <si>
    <t>_DVN164 B004</t>
  </si>
  <si>
    <t>China FTA (excl. ID)</t>
  </si>
  <si>
    <t>_DVN165 B004</t>
  </si>
  <si>
    <t>China FTA (excl. ID,KH)</t>
  </si>
  <si>
    <t>_DVN166 B004</t>
  </si>
  <si>
    <t>China FTA (excl. ID,KH,LA,MM,MY,PH)</t>
  </si>
  <si>
    <t>_DVN167 B004</t>
  </si>
  <si>
    <t>China FTA (excl. ID,KH,MM)</t>
  </si>
  <si>
    <t>_DVN168 B004</t>
  </si>
  <si>
    <t>China FTA (excl. ID,KH,MM,MY)</t>
  </si>
  <si>
    <t>_DVN169 B004</t>
  </si>
  <si>
    <t>China FTA (excl. ID,KH,MM,MY,PH)</t>
  </si>
  <si>
    <t>_DVN170 B004</t>
  </si>
  <si>
    <t>China FTA (excl. ID,KH,MM,PH)</t>
  </si>
  <si>
    <t>_DVN171 B004</t>
  </si>
  <si>
    <t>China FTA (excl. ID,KH,MY)</t>
  </si>
  <si>
    <t>_DVN172 B004</t>
  </si>
  <si>
    <t>China FTA (excl. ID,KH,MY,PH)</t>
  </si>
  <si>
    <t>_DVN173 B004</t>
  </si>
  <si>
    <t>China FTA (excl. ID,KH,MY,TH)</t>
  </si>
  <si>
    <t>_DVN174 B004</t>
  </si>
  <si>
    <t>China FTA (excl. ID,KH,PH,TH)</t>
  </si>
  <si>
    <t>_DVN175 B004</t>
  </si>
  <si>
    <t>China FTA (excl. ID,KH,TH)</t>
  </si>
  <si>
    <t>_DVN176 B004</t>
  </si>
  <si>
    <t>China FTA (excl. ID,LA,MM)</t>
  </si>
  <si>
    <t>_DVN177 B004</t>
  </si>
  <si>
    <t>China FTA (excl. ID,LA,TH)</t>
  </si>
  <si>
    <t>_DVN178 B004</t>
  </si>
  <si>
    <t>China FTA (excl. ID,MM)</t>
  </si>
  <si>
    <t>_DVN179 B004</t>
  </si>
  <si>
    <t>China FTA (excl. ID,MM,MY)</t>
  </si>
  <si>
    <t>_DVN18 B004</t>
  </si>
  <si>
    <t>ASEAN KOREA FTA (excl. BN,KH,LA,PH)</t>
  </si>
  <si>
    <t>_DVN180 B004</t>
  </si>
  <si>
    <t>China FTA (excl. ID,MM,MY,PH)</t>
  </si>
  <si>
    <t>_DVN181 B004</t>
  </si>
  <si>
    <t>China FTA (excl. ID,MM,PH)</t>
  </si>
  <si>
    <t>_DVN182 B004</t>
  </si>
  <si>
    <t>China FTA (excl. ID,MY)</t>
  </si>
  <si>
    <t>_DVN183 B004</t>
  </si>
  <si>
    <t>China FTA (excl. ID,MY,PH)</t>
  </si>
  <si>
    <t>_DVN184 B004</t>
  </si>
  <si>
    <t>China FTA (excl. ID,MY,PH,TH)</t>
  </si>
  <si>
    <t>_DVN185 B004</t>
  </si>
  <si>
    <t>China FTA (excl. ID,MY,TH)</t>
  </si>
  <si>
    <t>_DVN186 B004</t>
  </si>
  <si>
    <t>China FTA (excl. ID,PH)</t>
  </si>
  <si>
    <t>_DVN187 B004</t>
  </si>
  <si>
    <t>China FTA (excl. ID,PH,TH)</t>
  </si>
  <si>
    <t>_DVN188 B004</t>
  </si>
  <si>
    <t>China FTA (excl. ID,TH)</t>
  </si>
  <si>
    <t>_DVN189 B004</t>
  </si>
  <si>
    <t>China FTA (excl. KH)</t>
  </si>
  <si>
    <t>_DVN19 B004</t>
  </si>
  <si>
    <t>ASEAN KOREA FTA (excl. BN,KH,MM,MY,PH)</t>
  </si>
  <si>
    <t>_DVN191 B004</t>
  </si>
  <si>
    <t>China FTA (excl. KH,LA,MM,SG)</t>
  </si>
  <si>
    <t>_DVN192 B004</t>
  </si>
  <si>
    <t>China FTA (excl. KH,LA,MY,TH)</t>
  </si>
  <si>
    <t>_DVN193 B004</t>
  </si>
  <si>
    <t>China FTA (excl. KH,MM)</t>
  </si>
  <si>
    <t>_DVN194 B004</t>
  </si>
  <si>
    <t>China FTA (excl. KH,MM,MY)</t>
  </si>
  <si>
    <t>_DVN195 B004</t>
  </si>
  <si>
    <t>China FTA (excl. KH,MM,MY,PH)</t>
  </si>
  <si>
    <t>_DVN196 B004</t>
  </si>
  <si>
    <t>China FTA (excl. KH,MM,PH)</t>
  </si>
  <si>
    <t>_DVN197 B004</t>
  </si>
  <si>
    <t>China FTA (excl. KH,MY)</t>
  </si>
  <si>
    <t>_DVN198 B004</t>
  </si>
  <si>
    <t>China FTA (excl. KH,MY,PH)</t>
  </si>
  <si>
    <t>_DVN199 B004</t>
  </si>
  <si>
    <t>China FTA (excl. KH,MY,PH,TH)</t>
  </si>
  <si>
    <t>_DVN2 B001</t>
  </si>
  <si>
    <t>_DVN20 B004</t>
  </si>
  <si>
    <t>ASEAN KOREA FTA (excl. BN,KH,MY)</t>
  </si>
  <si>
    <t>_DVN200 B004</t>
  </si>
  <si>
    <t>China FTA (excl. KH,MY,TH)</t>
  </si>
  <si>
    <t>_DVN201 B004</t>
  </si>
  <si>
    <t>China FTA (excl. KH,PH)</t>
  </si>
  <si>
    <t>_DVN202 B004</t>
  </si>
  <si>
    <t>China FTA (excl. KH,PH,TH)</t>
  </si>
  <si>
    <t>_DVN204 B004</t>
  </si>
  <si>
    <t>China FTA (excl. KH,TH)</t>
  </si>
  <si>
    <t>_DVN206 B004</t>
  </si>
  <si>
    <t>China FTA (excl. LA)</t>
  </si>
  <si>
    <t>_DVN207 B004</t>
  </si>
  <si>
    <t>China FTA (excl. LA,MM)</t>
  </si>
  <si>
    <t>_DVN208 B004</t>
  </si>
  <si>
    <t>China FTA (excl. LA,MM,PH)</t>
  </si>
  <si>
    <t>_DVN209 B004</t>
  </si>
  <si>
    <t>China FTA (excl. LA,MY,PH)</t>
  </si>
  <si>
    <t>_DVN21 B004</t>
  </si>
  <si>
    <t>ASEAN KOREA FTA (excl. BN,LA)</t>
  </si>
  <si>
    <t>_DVN210 B004</t>
  </si>
  <si>
    <t>China FTA (excl. LA,PH)</t>
  </si>
  <si>
    <t>_DVN211 B004</t>
  </si>
  <si>
    <t>China FTA (excl. LA,TH)</t>
  </si>
  <si>
    <t>_DVN212 B004</t>
  </si>
  <si>
    <t>China FTA (excl. MM)</t>
  </si>
  <si>
    <t>_DVN213 B004</t>
  </si>
  <si>
    <t>China FTA (excl. MM,MY)</t>
  </si>
  <si>
    <t>_DVN214 B004</t>
  </si>
  <si>
    <t>China FTA (excl. MM,MY,PH)</t>
  </si>
  <si>
    <t>_DVN215 B004</t>
  </si>
  <si>
    <t>China FTA (excl. MM,PH)</t>
  </si>
  <si>
    <t>_DVN216 B004</t>
  </si>
  <si>
    <t>China FTA (excl. MM,TH)</t>
  </si>
  <si>
    <t>_DVN217 B004</t>
  </si>
  <si>
    <t>China FTA (excl. MY)</t>
  </si>
  <si>
    <t>_DVN218 B004</t>
  </si>
  <si>
    <t>China FTA (excl. MY,PH)</t>
  </si>
  <si>
    <t>_DVN219 B004</t>
  </si>
  <si>
    <t>China FTA (excl. MY,PH,TH)</t>
  </si>
  <si>
    <t>_DVN22 B004</t>
  </si>
  <si>
    <t>ASEAN KOREA FTA (excl. BN,LA,MY)</t>
  </si>
  <si>
    <t>_DVN220 B004</t>
  </si>
  <si>
    <t>China FTA (excl. MY,TH)</t>
  </si>
  <si>
    <t>_DVN221 B004</t>
  </si>
  <si>
    <t>China FTA (excl. PH)</t>
  </si>
  <si>
    <t>_DVN222 B004</t>
  </si>
  <si>
    <t>China FTA (excl. PH,TH)</t>
  </si>
  <si>
    <t>_DVN224 B004</t>
  </si>
  <si>
    <t>China FTA (excl. TH)</t>
  </si>
  <si>
    <t>_DVN23 B004</t>
  </si>
  <si>
    <t>ASEAN KOREA FTA (excl. BN,LA,MY,PH)</t>
  </si>
  <si>
    <t>_DVN232 B004</t>
  </si>
  <si>
    <t>ASEAN KOREA FTA (excl. KH,TH)</t>
  </si>
  <si>
    <t>_DVN233 B004</t>
  </si>
  <si>
    <t>ASEAN KOREA FTA (excl. KR,TH)</t>
  </si>
  <si>
    <t>_DVN234 B004</t>
  </si>
  <si>
    <t>ASEAN KOREA FTA (excl. LA,TH)</t>
  </si>
  <si>
    <t>_DVN235 B004</t>
  </si>
  <si>
    <t>ASEAN KOREA FTA (excl. MM,TH)</t>
  </si>
  <si>
    <t>_DVN236 B004</t>
  </si>
  <si>
    <t>ASEAN KOREA FTA (excl. MY,TH)</t>
  </si>
  <si>
    <t>_DVN237 B004</t>
  </si>
  <si>
    <t>ASEAN KOREA FTA (excl. PH,TH)</t>
  </si>
  <si>
    <t>_DVN238 B004</t>
  </si>
  <si>
    <t>ASEAN KOREA FTA (excl. TH)</t>
  </si>
  <si>
    <t>_DVN24 B004</t>
  </si>
  <si>
    <t>ASEAN KOREA FTA (excl. BN,LA,PH)</t>
  </si>
  <si>
    <t>_DVN25 B004</t>
  </si>
  <si>
    <t>ASEAN KOREA FTA (excl. BN,MY,PH)</t>
  </si>
  <si>
    <t>_DVN253 B004</t>
  </si>
  <si>
    <t>China FTA (excl: BN,KH,MM,TH)</t>
  </si>
  <si>
    <t>_DVN26 B004</t>
  </si>
  <si>
    <t>ASEAN KOREA FTA (excl. BN,PH)</t>
  </si>
  <si>
    <t>_DVN27 B004</t>
  </si>
  <si>
    <t>ASEAN KOREA FTA (excl. ID)</t>
  </si>
  <si>
    <t>_DVN28 B004</t>
  </si>
  <si>
    <t>ASEAN KOREA FTA (excl. ID,KH)</t>
  </si>
  <si>
    <t>_DVN295 B004</t>
  </si>
  <si>
    <t>ASEAN KOREA FTA (excl. BN,ID,LA,MM,MY,PH)</t>
  </si>
  <si>
    <t>_DVN299 B004</t>
  </si>
  <si>
    <t>ASEAN KOREA FTA (excl. BN,KH,LA,MY,PH,TH)</t>
  </si>
  <si>
    <t>_DVN30 B004</t>
  </si>
  <si>
    <t>ASEAN KOREA FTA (excl. ID,KH,LA)</t>
  </si>
  <si>
    <t>_DVN301 B004</t>
  </si>
  <si>
    <t>ASEAN KOREA FTA (excl. BN,KH,LA,PH,TH)</t>
  </si>
  <si>
    <t>_DVN307 B004</t>
  </si>
  <si>
    <t>ASEAN KOREA FTA (excl. BN,LA,PH,TH)</t>
  </si>
  <si>
    <t>_DVN31 B004</t>
  </si>
  <si>
    <t>ASEAN KOREA FTA (excl. ID,KH,LA,MM)</t>
  </si>
  <si>
    <t>_DVN310 B004</t>
  </si>
  <si>
    <t>ASEAN KOREA FTA (excl. ID,LA,MM,MY,KR,TH)</t>
  </si>
  <si>
    <t>_DVN317 B004</t>
  </si>
  <si>
    <t>ASEAN KOREA FTA (excl. ID,MM,MY,TH)</t>
  </si>
  <si>
    <t>_DVN32 B004</t>
  </si>
  <si>
    <t>ASEAN KOREA FTA (excl. ID,KH,LA,MM,MY,PH)</t>
  </si>
  <si>
    <t>_DVN320 B004</t>
  </si>
  <si>
    <t>ASEAN KOREA FTA (excl. ID,MM,TH)</t>
  </si>
  <si>
    <t>_DVN324 B004</t>
  </si>
  <si>
    <t>ASEAN KOREA FTA (excl. ID,MY,TH)</t>
  </si>
  <si>
    <t>_DVN33 B004</t>
  </si>
  <si>
    <t>ASEAN KOREA FTA (excl. ID,KH,LA,MM,PH)</t>
  </si>
  <si>
    <t>_DVN34 B004</t>
  </si>
  <si>
    <t>ASEAN KOREA FTA (excl. ID,KH,LA,MY)</t>
  </si>
  <si>
    <t>_DVN344 B004</t>
  </si>
  <si>
    <t>ASEAN KOREA FTA (excl. KH,LA,PH,KR,TH)</t>
  </si>
  <si>
    <t>_DVN345 B004</t>
  </si>
  <si>
    <t>ASEAN KOREA FTA (excl. KH,LA,PH,TH)</t>
  </si>
  <si>
    <t>_DVN346 B004</t>
  </si>
  <si>
    <t>ASEAN KOREA FTA (excl. KH,LA,TH)</t>
  </si>
  <si>
    <t>_DVN35 B004</t>
  </si>
  <si>
    <t>ASEAN KOREA FTA (excl. ID,KH,LA,PH)</t>
  </si>
  <si>
    <t>_DVN355 B004</t>
  </si>
  <si>
    <t>ASEAN KOREA FTA (excl. KH,MY,TH)</t>
  </si>
  <si>
    <t>_DVN357 B004</t>
  </si>
  <si>
    <t>ASEAN KOREA FTA (excl. KH,PH,KR,TH)</t>
  </si>
  <si>
    <t>_DVN358 B004</t>
  </si>
  <si>
    <t>ASEAN KOREA FTA (excl. KH,PH,TH)</t>
  </si>
  <si>
    <t>_DVN359 B004</t>
  </si>
  <si>
    <t>ASEAN KOREA FTA (excl. LA,KR,TH)</t>
  </si>
  <si>
    <t>_DVN36 B004</t>
  </si>
  <si>
    <t>ASEAN KOREA FTA (excl. ID,KH,MM)</t>
  </si>
  <si>
    <t>_DVN363 B004</t>
  </si>
  <si>
    <t>ASEAN KOREA FTA (excl. LA,MM,TH)</t>
  </si>
  <si>
    <t>_DVN365 B004</t>
  </si>
  <si>
    <t>ASEAN KOREA FTA (excl. LA,MY,KR,TH)</t>
  </si>
  <si>
    <t>_DVN366 B004</t>
  </si>
  <si>
    <t>ASEAN KOREA FTA (excl. LA,MY,PH,TH)</t>
  </si>
  <si>
    <t>_DVN368 B004</t>
  </si>
  <si>
    <t>ASEAN KOREA FTA (excl. LA,PH,KR,TH)</t>
  </si>
  <si>
    <t>_DVN369 B004</t>
  </si>
  <si>
    <t>ASEAN KOREA FTA (excl. LA,PH,TH)</t>
  </si>
  <si>
    <t>_DVN37 B004</t>
  </si>
  <si>
    <t>ASEAN KOREA FTA (excl. ID,KH,MM,MY,PH)</t>
  </si>
  <si>
    <t>_DVN372 B004</t>
  </si>
  <si>
    <t>ASEAN KOREA FTA (excl. MY,KR,TH)</t>
  </si>
  <si>
    <t>_DVN374 B004</t>
  </si>
  <si>
    <t>ASEAN KOREA FTA (excl. MY,PH,TH)</t>
  </si>
  <si>
    <t>_DVN375 B004</t>
  </si>
  <si>
    <t>ASEAN KOREA FTA (excl. PH,KR,TH)</t>
  </si>
  <si>
    <t>_DVN38 B004</t>
  </si>
  <si>
    <t>ASEAN KOREA FTA (excl. ID,KH,MM,PH)</t>
  </si>
  <si>
    <t>_DVN39 B004</t>
  </si>
  <si>
    <t>ASEAN KOREA FTA (excl. ID,KH,MY)</t>
  </si>
  <si>
    <t>_DVN40 B004</t>
  </si>
  <si>
    <t>ASEAN KOREA FTA (excl. ID,KH,MY,PH)</t>
  </si>
  <si>
    <t>_DVN406 B004</t>
  </si>
  <si>
    <t>AANZFTA - ASEAN Australia New Zealand FTA (AANZFTA)</t>
  </si>
  <si>
    <t>_DVN407 B004</t>
  </si>
  <si>
    <t>AIFTA - ASEANâ€“India Free Trade Area (AIFTA)</t>
  </si>
  <si>
    <t>_DVN408 B004</t>
  </si>
  <si>
    <t>AJCEP - ASEAN-Japan Comprehensive Economic Partnership  (AJCEP)</t>
  </si>
  <si>
    <t>_DVN409 B004</t>
  </si>
  <si>
    <t>ATIGA - ASEAN Trade in Goods Agreement (ATIGA)</t>
  </si>
  <si>
    <t>_DVN41 B004</t>
  </si>
  <si>
    <t>ASEAN KOREA FTA (excl. ID,KH,PH)</t>
  </si>
  <si>
    <t>_DVN410 B004</t>
  </si>
  <si>
    <t>VJEPA - Vietnam-Japan Economic Partnership Agreement (VJEPA)</t>
  </si>
  <si>
    <t>_DVN411 B004</t>
  </si>
  <si>
    <t>VCFTA - Vietnam-Chile Free Trade Agreement (VCFTA)</t>
  </si>
  <si>
    <t>_DVN412 B004</t>
  </si>
  <si>
    <t>VKFTA - Korea Free Trade Agreement (VKFTA)</t>
  </si>
  <si>
    <t>_DVN413 B004</t>
  </si>
  <si>
    <t>ASEAN - HONG KONG, CHINA FREE TRADE AGREEMENT</t>
  </si>
  <si>
    <t>_DVN414 B004</t>
  </si>
  <si>
    <t>Comprehensive and Progressive Agreement for Trans-Pacific Partnership Mexico Origin only</t>
  </si>
  <si>
    <t>_DVN415 B004</t>
  </si>
  <si>
    <t>Comprehensive and Progressive Agreement for Trans-Pacific Partnership All Except MX and KH</t>
  </si>
  <si>
    <t>_DVN416 B004</t>
  </si>
  <si>
    <t>Vietnam Cuba FTA</t>
  </si>
  <si>
    <t>_DVN418 B004</t>
  </si>
  <si>
    <t>Vietname Eurasian Economic Union FTA</t>
  </si>
  <si>
    <t>_DVN419 B004</t>
  </si>
  <si>
    <t>EUâ€“Vietnam Free Trade Agreement (EVFTA)</t>
  </si>
  <si>
    <t>_DVN42 B004</t>
  </si>
  <si>
    <t>ASEAN KOREA FTA (excl. ID,KR)</t>
  </si>
  <si>
    <t>_DVN420 B004</t>
  </si>
  <si>
    <t>Vietnam and Lao People`s Democratic Republic FTA rates</t>
  </si>
  <si>
    <t>_DVN421 B004</t>
  </si>
  <si>
    <t>Vietnam and United Kingdom of Great Britain and Northern Ireland FTA rates</t>
  </si>
  <si>
    <t>_DVN43 B004</t>
  </si>
  <si>
    <t>ASEAN KOREA FTA (excl. ID,KR,LA)</t>
  </si>
  <si>
    <t>_DVN430 B004</t>
  </si>
  <si>
    <t>The Regional Comprehensive Economic Partnership (RCEP) for ASEAN Partnership</t>
  </si>
  <si>
    <t>_DVN431 B004</t>
  </si>
  <si>
    <t>The Regional Comprehensive Economic Partnership (RCEP) for Australia Origin Only</t>
  </si>
  <si>
    <t>_DVN432 B004</t>
  </si>
  <si>
    <t>The Regional Comprehensive Economic Partnership (RCEP) for China Origin Only</t>
  </si>
  <si>
    <t>_DVN433 B004</t>
  </si>
  <si>
    <t>The Regional Comprehensive Economic Partnership (RCEP) for Japan Origin Only</t>
  </si>
  <si>
    <t>_DVN434 B004</t>
  </si>
  <si>
    <t>The Regional Comprehensive Economic Partnership (RCEP) for New Zeland Origin Only</t>
  </si>
  <si>
    <t>_DVN435 B004</t>
  </si>
  <si>
    <t>The Regional Comprehensive Economic Partnership (RCEP) for Republic of Korea Origin Only</t>
  </si>
  <si>
    <t>_DVN438 B004</t>
  </si>
  <si>
    <t>Free Trade Agreement Rates between the Government of the Socialist Republic of Vietnam and the Government of Israel for the period of 2024-2027</t>
  </si>
  <si>
    <t>_DVN439 B004</t>
  </si>
  <si>
    <t>ASEAN KOREA FTA (excl. ID,PH,TH)</t>
  </si>
  <si>
    <t>_DVN440 B004</t>
  </si>
  <si>
    <t>ASEAN KOREA FTA (excl. ID,TH)</t>
  </si>
  <si>
    <t>_DVN45 B004</t>
  </si>
  <si>
    <t>ASEAN KOREA FTA (excl. ID,KR,LA,MM,MY,PH,TH)</t>
  </si>
  <si>
    <t>_DVN49 B004</t>
  </si>
  <si>
    <t>ASEAN KOREA FTA (excl. ID,KR,MY)</t>
  </si>
  <si>
    <t>_DVN52 B004</t>
  </si>
  <si>
    <t>ASEAN KOREA FTA (excl. ID,LA)</t>
  </si>
  <si>
    <t>_DVN53 B004</t>
  </si>
  <si>
    <t>ASEAN KOREA FTA (excl. ID,LA,MM,PH)</t>
  </si>
  <si>
    <t>_DVN54 B004</t>
  </si>
  <si>
    <t>ASEAN KOREA FTA (excl. ID,MM)</t>
  </si>
  <si>
    <t>_DVN55 B004</t>
  </si>
  <si>
    <t>ASEAN KOREA FTA (excl. ID,MM,MY)</t>
  </si>
  <si>
    <t>_DVN56 B004</t>
  </si>
  <si>
    <t>ASEAN KOREA FTA (excl. ID,MM,MY,PH)</t>
  </si>
  <si>
    <t>_DVN57 B004</t>
  </si>
  <si>
    <t>ASEAN KOREA FTA (excl. ID,MM,PH)</t>
  </si>
  <si>
    <t>_DVN58 B004</t>
  </si>
  <si>
    <t>ASEAN KOREA FTA (excl. ID,MY)</t>
  </si>
  <si>
    <t>_DVN59 B004</t>
  </si>
  <si>
    <t>ASEAN KOREA FTA (excl. ID,MY,PH)</t>
  </si>
  <si>
    <t>_DVN60 B004</t>
  </si>
  <si>
    <t>ASEAN KOREA FTA (excl. ID,PH)</t>
  </si>
  <si>
    <t>_DVN61 B004</t>
  </si>
  <si>
    <t>ASEAN KOREA FTA (excl. ID,KH,KR,MM,PH)</t>
  </si>
  <si>
    <t>_DVN62 B004</t>
  </si>
  <si>
    <t>ASEAN KOREA FTA (excl. KH)</t>
  </si>
  <si>
    <t>_DVN63 B004</t>
  </si>
  <si>
    <t>ASEAN KOREA FTA (excl. KH,KR)</t>
  </si>
  <si>
    <t>_DVN64 B004</t>
  </si>
  <si>
    <t>ASEAN KOREA FTA (excl. KH,KR,LA)</t>
  </si>
  <si>
    <t>_DVN65 B004</t>
  </si>
  <si>
    <t>ASEAN KOREA FTA (excl. KH,KR,LA,MM)</t>
  </si>
  <si>
    <t>_DVN66 B004</t>
  </si>
  <si>
    <t>ASEAN KOREA FTA (excl. KH,KR,LA,MM,PH)</t>
  </si>
  <si>
    <t>_DVN68 B004</t>
  </si>
  <si>
    <t>ASEAN KOREA FTA (excl. KH,KR,MM,PH)</t>
  </si>
  <si>
    <t>_DVN69 B004</t>
  </si>
  <si>
    <t>ASEAN KOREA FTA (excl. KH,KR,MY)</t>
  </si>
  <si>
    <t>_DVN70 B004</t>
  </si>
  <si>
    <t>ASEAN KOREA FTA (excl. KH,KR,MY,PH)</t>
  </si>
  <si>
    <t>_DVN71 B004</t>
  </si>
  <si>
    <t>ASEAN KOREA FTA (excl. KH,KR,PH)</t>
  </si>
  <si>
    <t>_DVN72 B004</t>
  </si>
  <si>
    <t>ASEAN KOREA FTA (excl. KH,LA)</t>
  </si>
  <si>
    <t>_DVN74 B004</t>
  </si>
  <si>
    <t>ASEAN KOREA FTA (excl. KH,LA,MM)</t>
  </si>
  <si>
    <t>_DVN75 B004</t>
  </si>
  <si>
    <t>ASEAN KOREA FTA (excl. KH,LA,MM,MY,PH)</t>
  </si>
  <si>
    <t>_DVN76 B004</t>
  </si>
  <si>
    <t>ASEAN KOREA FTA (excl. KH,LA,MM,PH)</t>
  </si>
  <si>
    <t>_DVN77 B004</t>
  </si>
  <si>
    <t>ASEAN KOREA FTA (excl. KH,LA,MY)</t>
  </si>
  <si>
    <t>_DVN78 B004</t>
  </si>
  <si>
    <t>ASEAN KOREA FTA (excl. KH,LA,MY,PH)</t>
  </si>
  <si>
    <t>_DVN79 B004</t>
  </si>
  <si>
    <t>ASEAN KOREA FTA (excl. KH,LA,PH)</t>
  </si>
  <si>
    <t>_DVN80 B004</t>
  </si>
  <si>
    <t>ASEAN KOREA FTA (excl. KH,MM)</t>
  </si>
  <si>
    <t>_DVN81 B004</t>
  </si>
  <si>
    <t>ASEAN KOREA FTA (excl. KH,MM,MY)</t>
  </si>
  <si>
    <t>_DVN82 B004</t>
  </si>
  <si>
    <t>ASEAN KOREA FTA (excl. KH,MM,MY,PH)</t>
  </si>
  <si>
    <t>_DVN83 B004</t>
  </si>
  <si>
    <t>ASEAN KOREA FTA (excl. KH,MM,PH)</t>
  </si>
  <si>
    <t>_DVN84 B004</t>
  </si>
  <si>
    <t>ASEAN KOREA FTA (excl. KH,MY)</t>
  </si>
  <si>
    <t>_DVN85 B004</t>
  </si>
  <si>
    <t>ASEAN KOREA FTA (excl. KH,MY,PH)</t>
  </si>
  <si>
    <t>_DVN86 B004</t>
  </si>
  <si>
    <t>ASEAN KOREA FTA (excl. KH,PH)</t>
  </si>
  <si>
    <t>_DVN87 B004</t>
  </si>
  <si>
    <t>ASEAN KOREA FTA (excl. KR)</t>
  </si>
  <si>
    <t>_DVN88 B004</t>
  </si>
  <si>
    <t>ASEAN KOREA FTA (excl. KR,LA)</t>
  </si>
  <si>
    <t>_DVN89 B004</t>
  </si>
  <si>
    <t>ASEAN KOREA FTA (excl. KR,LA,MM,PH)</t>
  </si>
  <si>
    <t>_DVN91 B004</t>
  </si>
  <si>
    <t>ASEAN KOREA FTA (excl. KR,LA,PH)</t>
  </si>
  <si>
    <t>_DVN92 B004</t>
  </si>
  <si>
    <t>ASEAN KOREA FTA (excl. KR,MM)</t>
  </si>
  <si>
    <t>_DVN94 B004</t>
  </si>
  <si>
    <t>ASEAN KOREA FTA (excl. KR,MY)</t>
  </si>
  <si>
    <t>_DVN95 B004</t>
  </si>
  <si>
    <t>ASEAN KOREA FTA (excl. KR,MY,PH)</t>
  </si>
  <si>
    <t>_DVN96 B004</t>
  </si>
  <si>
    <t>ASEAN KOREA FTA (excl. KR,PH)</t>
  </si>
  <si>
    <t>_DVN97 B004</t>
  </si>
  <si>
    <t>ASEAN KOREA FTA (excl. LA)</t>
  </si>
  <si>
    <t>_DVN98 B004</t>
  </si>
  <si>
    <t>ASEAN KOREA FTA (excl. LA,MM)</t>
  </si>
  <si>
    <t>_DVN99 B004</t>
  </si>
  <si>
    <t>ASEAN KOREA FTA (excl. LA,MM,MY)</t>
  </si>
  <si>
    <t>UNIT</t>
  </si>
  <si>
    <t>LITER</t>
  </si>
  <si>
    <t>M³</t>
  </si>
  <si>
    <t>M²</t>
  </si>
  <si>
    <t>ROLL</t>
  </si>
  <si>
    <t>PAIR</t>
  </si>
  <si>
    <t>1000 UNIT</t>
  </si>
  <si>
    <t>_DUSAF B013</t>
  </si>
  <si>
    <t>_DUSALL B071</t>
  </si>
  <si>
    <t>_DUSAO B013</t>
  </si>
  <si>
    <t>_DUSBA B013</t>
  </si>
  <si>
    <t>_DUSBD B013</t>
  </si>
  <si>
    <t>_DUSBN B013</t>
  </si>
  <si>
    <t>_DUSBO B013</t>
  </si>
  <si>
    <t>_DUSBR B013</t>
  </si>
  <si>
    <t>_DUSBR B071</t>
  </si>
  <si>
    <t>_DUSBW B013</t>
  </si>
  <si>
    <t>_DUSCA B071</t>
  </si>
  <si>
    <t>_DUSCD B013</t>
  </si>
  <si>
    <t>_DUSCH B013</t>
  </si>
  <si>
    <t>_DUSCH B071</t>
  </si>
  <si>
    <t>_DUSCI B013</t>
  </si>
  <si>
    <t>_DUSCM B013</t>
  </si>
  <si>
    <t>_DUSCNA B071</t>
  </si>
  <si>
    <t>_DUSCR B013</t>
  </si>
  <si>
    <t>_DUSDZ B013</t>
  </si>
  <si>
    <t>_DUSEC B013</t>
  </si>
  <si>
    <t>_DUSEMB B071</t>
  </si>
  <si>
    <t>_DUSEU B013</t>
  </si>
  <si>
    <t>_DUSEU B071</t>
  </si>
  <si>
    <t>_DUSFJ B013</t>
  </si>
  <si>
    <t>_DUSFK B013</t>
  </si>
  <si>
    <t>_DUSGB B013</t>
  </si>
  <si>
    <t>_DUSGB B071</t>
  </si>
  <si>
    <t>_DUSGH B013</t>
  </si>
  <si>
    <t>_DUSGQ B013</t>
  </si>
  <si>
    <t>_DUSGY B013</t>
  </si>
  <si>
    <t>_DUSID B013</t>
  </si>
  <si>
    <t>_DUSIEEPA B071</t>
  </si>
  <si>
    <t>_DUSIL B013</t>
  </si>
  <si>
    <t>_DUSIN B013</t>
  </si>
  <si>
    <t>_DUSIN B071</t>
  </si>
  <si>
    <t>_DUSIQ B013</t>
  </si>
  <si>
    <t>_DUSIS B013</t>
  </si>
  <si>
    <t>_DUSJO B013</t>
  </si>
  <si>
    <t>_DUSJP B013</t>
  </si>
  <si>
    <t>_DUSJP B071</t>
  </si>
  <si>
    <t>_DUSKH B013</t>
  </si>
  <si>
    <t>_DUSKR B013</t>
  </si>
  <si>
    <t>_DUSKR B071</t>
  </si>
  <si>
    <t>_DUSKZ B013</t>
  </si>
  <si>
    <t>_DUSLA B013</t>
  </si>
  <si>
    <t>_DUSLI B013</t>
  </si>
  <si>
    <t>_DUSLI B071</t>
  </si>
  <si>
    <t>_DUSLK B013</t>
  </si>
  <si>
    <t>_DUSLS B013</t>
  </si>
  <si>
    <t>_DUSLY B013</t>
  </si>
  <si>
    <t>_DUSMD B013</t>
  </si>
  <si>
    <t>_DUSMG B013</t>
  </si>
  <si>
    <t>_DUSMK B013</t>
  </si>
  <si>
    <t>_DUSMM B013</t>
  </si>
  <si>
    <t>_DUSMU B013</t>
  </si>
  <si>
    <t>_DUSMW B013</t>
  </si>
  <si>
    <t>_DUSMX B071</t>
  </si>
  <si>
    <t>_DUSMY B013</t>
  </si>
  <si>
    <t>_DUSMZ B013</t>
  </si>
  <si>
    <t>_DUSNA B013</t>
  </si>
  <si>
    <t>_DUSNG B013</t>
  </si>
  <si>
    <t>_DUSNI B013</t>
  </si>
  <si>
    <t>_DUSNO B013</t>
  </si>
  <si>
    <t>_DUSNR B013</t>
  </si>
  <si>
    <t>_DUSNZ B013</t>
  </si>
  <si>
    <t>_DUSPG B013</t>
  </si>
  <si>
    <t>_DUSPH B013</t>
  </si>
  <si>
    <t>_DUSPK B013</t>
  </si>
  <si>
    <t>_DUSRS B013</t>
  </si>
  <si>
    <t>_DUSS+ B013</t>
  </si>
  <si>
    <t>_DUSS+ B071</t>
  </si>
  <si>
    <t>_DUSSY B013</t>
  </si>
  <si>
    <t>_DUSTD B013</t>
  </si>
  <si>
    <t>_DUSTH B013</t>
  </si>
  <si>
    <t>_DUSTN B013</t>
  </si>
  <si>
    <t>_DUSTR B013</t>
  </si>
  <si>
    <t>_DUSTT B013</t>
  </si>
  <si>
    <t>_DUSTW B013</t>
  </si>
  <si>
    <t>_DUSUG B013</t>
  </si>
  <si>
    <t>_DUSVE B013</t>
  </si>
  <si>
    <t>_DUSVN B013</t>
  </si>
  <si>
    <t>_DUSVU B013</t>
  </si>
  <si>
    <t>_DUSZA B013</t>
  </si>
  <si>
    <t>_DUSZM B013</t>
  </si>
  <si>
    <t>_DUSZW B013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</si>
</sst>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22" fontId="0" fillId="0" borderId="0" xfId="0" applyNumberFormat="1"/>
    <xf numFmtId="0" fontId="3" fillId="4" borderId="2" xfId="0" applyFont="1" applyFill="1" applyBorder="1"/>
    <xf numFmtId="0" fontId="2" fillId="3" borderId="2" xfId="0" applyFon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/>
    <xf numFmtId="0" fontId="2" fillId="3" borderId="0" xfId="0" applyFont="1" applyFill="1"/>
    <xf numFmtId="0" fontId="0" fillId="0" borderId="0" xfId="0" applyAlignment="1">
      <alignment wrapText="1"/>
    </xf>
    <xf numFmtId="0" fontId="6" fillId="0" borderId="0" xfId="0" applyFont="1"/>
    <xf numFmtId="14" fontId="0" fillId="0" borderId="1" xfId="0" applyNumberFormat="1" applyBorder="1" applyAlignment="1">
      <alignment horizontal="center"/>
    </xf>
    <xf numFmtId="0" fontId="0" fillId="5" borderId="0" xfId="0" applyFill="1"/>
    <xf numFmtId="0" fontId="3" fillId="4" borderId="3" xfId="0" applyFont="1" applyFill="1" applyBorder="1"/>
    <xf numFmtId="0" fontId="3" fillId="4" borderId="4" xfId="0" applyFont="1" applyFill="1" applyBorder="1"/>
    <xf numFmtId="0" fontId="3" fillId="4" borderId="5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66"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indexed="64"/>
          <bgColor theme="4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1">
    <xs:schema xmlns:xsi="http://www.w3.org/2001/XMLSchema-instance" xmlns:xs="http://www.w3.org/2001/XMLSchema" xmlns="" attributeFormDefault="unqualified" elementFormDefault="qualified">
      <xs:element name="legal_numbering_exchang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Short"/>
                  <xs:element name="upload_initial" type="xs:boolean"/>
                  <xs:element name="schema_id" type="xs:string"/>
                  <xs:element name="content_type" type="xs:unsignedByte"/>
                  <xs:element name="date_dependent" type="xs:boolean"/>
                  <xs:element name="country_dependent" type="xs:boolean"/>
                  <xs:element name="special_units_of_measure" type="xs:unsignedByte"/>
                  <xs:element name="schema_description">
                    <xs:complexType>
                      <xs:sequence>
                        <xs:element name="language" type="xs:string"/>
                        <xs:element name="text" type="xs:string"/>
                      </xs:sequence>
                    </xs:complexType>
                  </xs:element>
                  <xs:element minOccurs="0" maxOccurs="unbounded" name="oga_code_definition">
                    <xs:complexType>
                      <xs:sequence>
                        <xs:element name="authority_id" type="xs:string"/>
                        <xs:element name="authority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  <xs:element maxOccurs="unbounded" name="oga_codes">
                          <xs:complexType>
                            <xs:sequence>
                              <xs:element name="oga_code" type="xs:string"/>
                              <xs:element name="oga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  <xs:element name="countries">
                    <xs:complexType>
                      <xs:sequence>
                        <xs:element maxOccurs="unbounded" name="iso_country_code" type="xs:string"/>
                      </xs:sequence>
                    </xs:complexType>
                  </xs:element>
                  <xs:element maxOccurs="unbounded" name="level">
                    <xs:complexType>
                      <xs:sequence>
                        <xs:element name="level_id" type="xs:unsignedByte"/>
                        <xs:element name="length" type="xs:unsignedByte"/>
                        <xs:element name="separator"/>
                        <xs:element name="usage"/>
                        <xs:element name="level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number_data">
                    <xs:complexType>
                      <xs:sequence>
                        <xs:element name="number" type="xs:string"/>
                        <xs:element name="id" type="xs:string"/>
                        <xs:element name="root_id" type="xs:unsignedByte"/>
                        <xs:element name="parent_id" type="xs:string"/>
                        <xs:element name="level_id" type="xs:unsignedByte"/>
                        <xs:element name="validity_begin" type="xs:date"/>
                        <xs:element name="validity_end" type="xs:date"/>
                        <xs:element name="date_of_physical_update" type="xs:date"/>
                        <xs:element name="utilisation" type="xs:string"/>
                        <xs:element name="grouping" type="xs:unsignedByte"/>
                        <xs:element name="alternate_unit_1" type="xs:string"/>
                        <xs:element name="alternate_unit_2" type="xs:string"/>
                        <xs:element name="alternate_unit_3" type="xs:string"/>
                        <xs:element minOccurs="0" name="oga_assignment">
                          <xs:complexType>
                            <xs:sequence>
                              <xs:element maxOccurs="unbounded" name="oga_code" type="xs:string"/>
                            </xs:sequence>
                          </xs:complexType>
                        </xs:element>
                        <xs:element minOccurs="0" name="texts">
                          <xs:complexType>
                            <xs:sequence>
                              <xs:element name="official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  <xs:element minOccurs="0" name="commodity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  <xs:element minOccurs="0" maxOccurs="unbounded" name="description_reference">
                                <xs:complexType>
                                  <xs:sequence>
                                    <xs:element name="qualifier" type="xs:string"/>
                                    <xs:element name="text_element_id" type="xs:string"/>
                                    <xs:element name="validity_begin" type="xs:date"/>
                                    <xs:element name="validity_end" type="xs:dat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Schema ID="Schema22">
    <xs:schema xmlns:xsi="http://www.w3.org/2001/XMLSchema-instance" xmlns:xs="http://www.w3.org/2001/XMLSchema" xmlns="" attributeFormDefault="unqualified" elementFormDefault="qualified">
      <xs:element name="legal_numbering_exchang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Short"/>
                  <xs:element name="upload_initial" type="xs:boolean"/>
                  <xs:element name="schema_id" type="xs:string"/>
                  <xs:element name="content_type" type="xs:unsignedByte"/>
                  <xs:element name="date_dependent" type="xs:boolean"/>
                  <xs:element name="country_dependent" type="xs:boolean"/>
                  <xs:element name="special_units_of_measure" type="xs:unsignedByte"/>
                  <xs:element name="schema_description">
                    <xs:complexType>
                      <xs:sequence>
                        <xs:element name="language" type="xs:string"/>
                        <xs:element name="text" type="xs:string"/>
                      </xs:sequence>
                    </xs:complexType>
                  </xs:element>
                  <xs:element name="countries">
                    <xs:complexType>
                      <xs:sequence>
                        <xs:element maxOccurs="unbounded" name="iso_country_code" type="xs:string"/>
                      </xs:sequence>
                    </xs:complexType>
                  </xs:element>
                  <xs:element maxOccurs="unbounded" name="level">
                    <xs:complexType>
                      <xs:sequence>
                        <xs:element name="level_id" type="xs:unsignedByte"/>
                        <xs:element name="length" type="xs:unsignedByte"/>
                        <xs:element name="separator"/>
                        <xs:element name="usage"/>
                        <xs:element name="level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texts">
                    <xs:complexType>
                      <xs:sequence>
                        <xs:element name="qualifier" type="xs:string"/>
                        <xs:element name="text_element_id" type="xs:string"/>
                        <xs:element name="reference_id" type="xs:string"/>
                        <xs:element name="deletion" type="xs:boolean"/>
                        <xs:element name="validity_begin" type="xs:date"/>
                        <xs:element name="validity_end" type="xs:date"/>
                        <xs:element name="text_element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Schema ID="Schema4">
    <xs:schema xmlns:xsi="http://www.w3.org/2001/XMLSchema-instance" xmlns:xs="http://www.w3.org/2001/XMLSchema" xmlns="" attributeFormDefault="unqualified" elementFormDefault="qualified">
      <xs:element name="duty_rat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Short"/>
                  <xs:element name="upload_initial" type="xs:boolean"/>
                  <xs:element name="schema_id" type="xs:string"/>
                  <xs:element name="iso_country_code" type="xs:string"/>
                  <xs:element maxOccurs="unbounded" name="country_group_def">
                    <xs:complexType>
                      <xs:sequence>
                        <xs:element name="descriptions">
                          <xs:complexType>
                            <xs:sequence>
                              <xs:element name="description">
                                <xs:complexType>
                                  <xs:attribute name="language" type="xs:string"/>
                                  <xs:attribute name="text" type="xs:string"/>
                                </xs:complexType>
                              </xs:element>
                            </xs:sequence>
                          </xs:complexType>
                        </xs:element>
                        <xs:element name="include_countries">
                          <xs:complexType>
                            <xs:sequence>
                              <xs:element maxOccurs="unbounded" name="country_code">
                                <xs:complexType>
                                  <xs:sequence>
                                    <xs:element name="iso_country_code" type="xs:string"/>
                                  </xs:sequence>
                                  <xs:attribute name="valid_from" type="xs:date"/>
                                  <xs:attribute name="valid_to" type="xs:date"/>
                                </xs:complexType>
                              </xs:element>
                            </xs:sequence>
                          </xs:complexType>
                        </xs:element>
                      </xs:sequence>
                      <xs:attribute name="id" type="xs:string"/>
                      <xs:attribute name="valid_from" type="xs:date"/>
                      <xs:attribute name="valid_to" type="xs:date"/>
                      <xs:attribute name="deleted" type="xs:boolean"/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duty_rate_entity">
                    <xs:complexType>
                      <xs:sequence>
                        <xs:element minOccurs="0" name="country_group">
                          <xs:complexType>
                            <xs:sequence>
                              <xs:element minOccurs="0" name="exclude_countries">
                                <xs:complexType>
                                  <xs:sequence>
                                    <xs:element maxOccurs="unbounded" name="iso_country_code" type="xs:string"/>
                                  </xs:sequence>
                                </xs:complexType>
                              </xs:element>
                              <xs:element name="rate">
                                <xs:complexType>
                                  <xs:sequence>
                                    <xs:element name="constraint">
                                      <xs:complexType>
                                        <xs:sequence>
                                          <xs:element minOccurs="0" name="complex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  <xs:element minOccurs="0" name="compound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Short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specific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Short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adValorem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</xs:complexType>
                                          </xs:element>
                                          <xs:element minOccurs="0" name="free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</xs:sequence>
                                        <xs:attribute name="id" type="xs:unsignedByte"/>
                                        <xs:attribute name="type" type="xs:string"/>
                                        <xs:attribute name="computation_code" type="xs:string" use="optional"/>
                                      </xs:complexType>
                                    </xs:element>
                                    <xs:element minOccurs="0" name="additional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  <xs:element minOccurs="0" name="document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minOccurs="0" name="footnotes">
                                <xs:complexType>
                                  <xs:sequence>
                                    <xs:element maxOccurs="unbounded" name="text_element_id" type="xs:string"/>
                                  </xs:sequence>
                                </xs:complexType>
                              </xs:element>
                              <xs:element minOccurs="0" name="preference_note">
                                <xs:complexType>
                                  <xs:sequence>
                                    <xs:element name="note">
                                      <xs:complexType>
                                        <xs:attribute name="language" type="xs:string"/>
                                        <xs:attribute name="text" type="xs:string"/>
                                      </xs:complexType>
                                    </xs:element>
                                  </xs:sequence>
                                  <xs:attribute name="verifType" type="xs:string"/>
                                </xs:complexType>
                              </xs:element>
                            </xs:sequence>
                            <xs:attribute name="id" type="xs:string"/>
                          </xs:complexType>
                        </xs:element>
                        <xs:element minOccurs="0" name="country">
                          <xs:complexType>
                            <xs:sequence>
                              <xs:element name="measure_type" type="xs:unsignedShort"/>
                              <xs:element name="regulation" type="xs:string"/>
                              <xs:element name="rate">
                                <xs:complexType>
                                  <xs:sequence>
                                    <xs:element name="constraint">
                                      <xs:complexType>
                                        <xs:sequence>
                                          <xs:element minOccurs="0" name="free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  <xs:element minOccurs="0" name="complex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</xs:complexType>
                                          </xs:element>
                                          <xs:element minOccurs="0" name="specific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Byte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compound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  <xs:attribute name="ratePerUOM" type="xs:decimal"/>
                                              <xs:attribute name="currency" type="xs:string"/>
                                              <xs:attribute name="multiplier" type="xs:unsignedByte"/>
                                              <xs:attribute name="UOM" type="xs:string"/>
                                            </xs:complexType>
                                          </xs:element>
                                          <xs:element minOccurs="0" name="adValoremRate">
                                            <xs:complexType>
                                              <xs:sequence>
                                                <xs:element name="descriptions">
                                                  <xs:complexType>
                                                    <xs:sequence>
                                                      <xs:element name="description">
                                                        <xs:complexType>
                                                          <xs:attribute name="language" type="xs:string"/>
                                                          <xs:attribute name="text" type="xs:string"/>
                                                        </xs:complexType>
                                                      </xs:element>
                                                    </xs:sequence>
                                                  </xs:complexType>
                                                </xs:element>
                                              </xs:sequence>
                                              <xs:attribute name="type" type="xs:string"/>
                                              <xs:attribute name="percentage" type="xs:decimal"/>
                                            </xs:complexType>
                                          </xs:element>
                                        </xs:sequence>
                                        <xs:attribute name="id" type="xs:unsignedByte"/>
                                        <xs:attribute name="type" type="xs:string"/>
                                      </xs:complexType>
                                    </xs:element>
                                    <xs:element minOccurs="0" name="additional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  <xs:element minOccurs="0" name="document_code">
                                      <xs:complexType>
                                        <xs:sequence>
                                          <xs:element name="descriptions">
                                            <xs:complexType>
                                              <xs:sequence>
                                                <xs:element name="description">
                                                  <xs:complexType>
                                                    <xs:attribute name="language" type="xs:string"/>
                                                    <xs:attribute name="text" type="xs:string"/>
                                                  </xs:complexType>
                                                </xs:element>
                                              </xs:sequence>
                                            </xs:complexType>
                                          </xs:element>
                                        </xs:sequence>
                                        <xs:attribute name="value" type="xs:string"/>
                                      </xs:complexType>
                                    </xs:element>
                                  </xs:sequence>
                                </xs:complexType>
                              </xs:element>
                              <xs:element minOccurs="0" name="preference_note">
                                <xs:complexType>
                                  <xs:sequence>
                                    <xs:element name="note">
                                      <xs:complexType>
                                        <xs:attribute name="language" type="xs:string"/>
                                        <xs:attribute name="text" type="xs:string"/>
                                      </xs:complexType>
                                    </xs:element>
                                  </xs:sequence>
                                  <xs:attribute name="verifType" type="xs:string"/>
                                </xs:complexType>
                              </xs:element>
                              <xs:element minOccurs="0" name="footnotes">
                                <xs:complexType>
                                  <xs:sequence>
                                    <xs:element maxOccurs="unbounded" name="text_element_id" type="xs:string"/>
                                  </xs:sequence>
                                </xs:complexType>
                              </xs:element>
                            </xs:sequence>
                            <xs:attribute name="iso_country_code" type="xs:string"/>
                          </xs:complexType>
                        </xs:element>
                      </xs:sequence>
                      <xs:attribute name="hs_id" type="xs:string"/>
                      <xs:attribute name="duty_rate_type" type="xs:string"/>
                      <xs:attribute name="mn_id" type="xs:unsignedInt"/>
                      <xs:attribute name="valid_from" type="xs:date"/>
                      <xs:attribute name="valid_to" type="xs:date"/>
                      <xs:attribute name="deleted" type="xs:boolean"/>
                    </xs:complexType>
                  </xs:element>
                </xs:sequence>
              </xs:complexType>
            </xs:element>
          </xs:sequence>
        </xs:complexType>
      </xs:element>
    </xs:schema>
  </Schema>
  <Map ID="41" Name="duty_rate" RootElement="duty_rate" SchemaID="Schema4" ShowImportExportValidationErrors="false" AutoFit="true" Append="false" PreserveSortAFLayout="true" PreserveFormat="true">
    <DataBinding FileBinding="true" ConnectionID="2" DataBindingLoadMode="1"/>
  </Map>
  <Map ID="36" Name="legal_numbering_exchange" RootElement="legal_numbering_exchange" SchemaID="Schema21" ShowImportExportValidationErrors="false" AutoFit="true" Append="false" PreserveSortAFLayout="true" PreserveFormat="true">
    <DataBinding FileBinding="true" ConnectionID="3" DataBindingLoadMode="1"/>
  </Map>
  <Map ID="37" Name="texts" RootElement="legal_numbering_exchange" SchemaID="Schema2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3</xdr:col>
          <xdr:colOff>0</xdr:colOff>
          <xdr:row>2</xdr:row>
          <xdr:rowOff>190500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XML - DTR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22860</xdr:rowOff>
        </xdr:from>
        <xdr:to>
          <xdr:col>3</xdr:col>
          <xdr:colOff>0</xdr:colOff>
          <xdr:row>5</xdr:row>
          <xdr:rowOff>190500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Cleansing - DTR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7</xdr:row>
          <xdr:rowOff>0</xdr:rowOff>
        </xdr:from>
        <xdr:to>
          <xdr:col>3</xdr:col>
          <xdr:colOff>0</xdr:colOff>
          <xdr:row>8</xdr:row>
          <xdr:rowOff>182880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XML -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3</xdr:col>
          <xdr:colOff>0</xdr:colOff>
          <xdr:row>17</xdr:row>
          <xdr:rowOff>182880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Output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1</xdr:row>
          <xdr:rowOff>22860</xdr:rowOff>
        </xdr:from>
        <xdr:to>
          <xdr:col>15</xdr:col>
          <xdr:colOff>297180</xdr:colOff>
          <xdr:row>2</xdr:row>
          <xdr:rowOff>182880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22860</xdr:rowOff>
        </xdr:from>
        <xdr:to>
          <xdr:col>6</xdr:col>
          <xdr:colOff>0</xdr:colOff>
          <xdr:row>2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22860</xdr:rowOff>
        </xdr:from>
        <xdr:to>
          <xdr:col>3</xdr:col>
          <xdr:colOff>0</xdr:colOff>
          <xdr:row>11</xdr:row>
          <xdr:rowOff>190500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Cleansing -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13</xdr:row>
          <xdr:rowOff>22860</xdr:rowOff>
        </xdr:from>
        <xdr:to>
          <xdr:col>3</xdr:col>
          <xdr:colOff>0</xdr:colOff>
          <xdr:row>14</xdr:row>
          <xdr:rowOff>182880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XML -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22860</xdr:rowOff>
        </xdr:from>
        <xdr:to>
          <xdr:col>2</xdr:col>
          <xdr:colOff>533400</xdr:colOff>
          <xdr:row>2</xdr:row>
          <xdr:rowOff>182880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22860</xdr:rowOff>
        </xdr:from>
        <xdr:to>
          <xdr:col>2</xdr:col>
          <xdr:colOff>533400</xdr:colOff>
          <xdr:row>2</xdr:row>
          <xdr:rowOff>182880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ZD14 - CA PDR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22860</xdr:rowOff>
        </xdr:from>
        <xdr:to>
          <xdr:col>2</xdr:col>
          <xdr:colOff>533400</xdr:colOff>
          <xdr:row>2</xdr:row>
          <xdr:rowOff>182880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ZD14 - MX 6 Digits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22860</xdr:rowOff>
        </xdr:from>
        <xdr:to>
          <xdr:col>3</xdr:col>
          <xdr:colOff>403860</xdr:colOff>
          <xdr:row>2</xdr:row>
          <xdr:rowOff>182880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ZZDE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22860</xdr:rowOff>
        </xdr:from>
        <xdr:to>
          <xdr:col>3</xdr:col>
          <xdr:colOff>449580</xdr:colOff>
          <xdr:row>2</xdr:row>
          <xdr:rowOff>182880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ZZDF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22860</xdr:rowOff>
        </xdr:from>
        <xdr:to>
          <xdr:col>2</xdr:col>
          <xdr:colOff>533400</xdr:colOff>
          <xdr:row>2</xdr:row>
          <xdr:rowOff>182880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ZD14 Test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8" xr16:uid="{D379B81A-3565-44A1-A133-A49A98F73A27}" autoFormatId="16" applyNumberFormats="0" applyBorderFormats="0" applyFontFormats="0" applyPatternFormats="0" applyAlignmentFormats="0" applyWidthHeightFormats="0">
  <queryTableRefresh nextId="117">
    <queryTableFields count="33">
      <queryTableField id="37" name="Country" tableColumnId="35"/>
      <queryTableField id="38" name="HS Number" tableColumnId="36"/>
      <queryTableField id="39" name="Date from" tableColumnId="37"/>
      <queryTableField id="40" name="Date to" tableColumnId="38"/>
      <queryTableField id="79" name="Lang 1" tableColumnId="5"/>
      <queryTableField id="83" name="Desc 1" tableColumnId="7"/>
      <queryTableField id="84" name="Desc 2" tableColumnId="8"/>
      <queryTableField id="85" name="Desc 3" tableColumnId="9"/>
      <queryTableField id="86" name="Desc 4" tableColumnId="10"/>
      <queryTableField id="87" name="Desc 5" tableColumnId="11"/>
      <queryTableField id="88" name="Desc 6" tableColumnId="12"/>
      <queryTableField id="89" name="Desc 7" tableColumnId="13"/>
      <queryTableField id="80" name="Lang 2" tableColumnId="6"/>
      <queryTableField id="90" name="Desc 21" tableColumnId="14"/>
      <queryTableField id="91" name="Desc 22" tableColumnId="15"/>
      <queryTableField id="92" name="Desc 23" tableColumnId="16"/>
      <queryTableField id="93" name="Desc 24" tableColumnId="17"/>
      <queryTableField id="94" name="Desc 25" tableColumnId="18"/>
      <queryTableField id="95" name="Desc 26" tableColumnId="19"/>
      <queryTableField id="96" name="Desc 27" tableColumnId="20"/>
      <queryTableField id="72" name="Unit of measure" tableColumnId="2"/>
      <queryTableField id="59" name="Restriction code" tableColumnId="48"/>
      <queryTableField id="57" name="Rate type" tableColumnId="47"/>
      <queryTableField id="53" name="Champ24" tableColumnId="45"/>
      <queryTableField id="54" name="Champ25" tableColumnId="46"/>
      <queryTableField id="45" name="Base rate %" tableColumnId="39"/>
      <queryTableField id="46" name="Rate amount" tableColumnId="40"/>
      <queryTableField id="49" name="Rate curr" tableColumnId="41"/>
      <queryTableField id="73" name="Rate qty" tableColumnId="3"/>
      <queryTableField id="74" name="Rate qty uom" tableColumnId="4"/>
      <queryTableField id="50" name="Spec App" tableColumnId="42"/>
      <queryTableField id="51" name="Cert Ori" tableColumnId="43"/>
      <queryTableField id="52" name="Cty Grp" tableColumnId="4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4" xr16:uid="{4BF6C7F4-738B-4B4A-93C0-F4AC7BB2C1B7}" autoFormatId="16" applyNumberFormats="0" applyBorderFormats="0" applyFontFormats="0" applyPatternFormats="0" applyAlignmentFormats="0" applyWidthHeightFormats="0">
  <queryTableRefresh nextId="34">
    <queryTableFields count="33">
      <queryTableField id="1" name="Country" tableColumnId="1"/>
      <queryTableField id="2" name="HS Number" tableColumnId="2"/>
      <queryTableField id="3" name="Date from" tableColumnId="3"/>
      <queryTableField id="4" name="Date to" tableColumnId="4"/>
      <queryTableField id="5" name="Lang 1" tableColumnId="5"/>
      <queryTableField id="6" name="Desc 1" tableColumnId="6"/>
      <queryTableField id="7" name="Desc 2" tableColumnId="7"/>
      <queryTableField id="8" name="Desc 3" tableColumnId="8"/>
      <queryTableField id="9" name="Desc 4" tableColumnId="9"/>
      <queryTableField id="10" name="Desc 5" tableColumnId="10"/>
      <queryTableField id="11" name="Desc 6" tableColumnId="11"/>
      <queryTableField id="12" name="Desc 7" tableColumnId="12"/>
      <queryTableField id="13" name="Lang 2" tableColumnId="13"/>
      <queryTableField id="14" name="Desc 21" tableColumnId="14"/>
      <queryTableField id="15" name="Desc 22" tableColumnId="15"/>
      <queryTableField id="16" name="Desc 23" tableColumnId="16"/>
      <queryTableField id="17" name="Desc 24" tableColumnId="17"/>
      <queryTableField id="18" name="Desc 25" tableColumnId="18"/>
      <queryTableField id="19" name="Desc 26" tableColumnId="19"/>
      <queryTableField id="20" name="Desc 27" tableColumnId="20"/>
      <queryTableField id="21" name="Unit of measure" tableColumnId="21"/>
      <queryTableField id="22" name="Restriction code" tableColumnId="22"/>
      <queryTableField id="23" name="Rate type" tableColumnId="23"/>
      <queryTableField id="24" name="Champ24" tableColumnId="24"/>
      <queryTableField id="25" name="Champ25" tableColumnId="25"/>
      <queryTableField id="26" name="Base rate %" tableColumnId="26"/>
      <queryTableField id="27" name="Rate amount" tableColumnId="27"/>
      <queryTableField id="28" name="Rate curr" tableColumnId="28"/>
      <queryTableField id="29" name="Rate qty" tableColumnId="29"/>
      <queryTableField id="30" name="Rate qty uom" tableColumnId="30"/>
      <queryTableField id="31" name="Spec App" tableColumnId="31"/>
      <queryTableField id="32" name="Cert Ori" tableColumnId="32"/>
      <queryTableField id="33" name="Cty Grp" tableColumnId="3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backgroundRefresh="0" connectionId="5" xr16:uid="{417E15A3-98F4-485F-B0A3-8340C11F1E43}" autoFormatId="16" applyNumberFormats="0" applyBorderFormats="0" applyFontFormats="0" applyPatternFormats="0" applyAlignmentFormats="0" applyWidthHeightFormats="0">
  <queryTableRefresh nextId="34">
    <queryTableFields count="33">
      <queryTableField id="1" name="Country" tableColumnId="1"/>
      <queryTableField id="2" name="HS Number" tableColumnId="2"/>
      <queryTableField id="3" name="Date from" tableColumnId="3"/>
      <queryTableField id="4" name="Date to" tableColumnId="4"/>
      <queryTableField id="5" name="Lang 1" tableColumnId="5"/>
      <queryTableField id="6" name="Desc 1" tableColumnId="6"/>
      <queryTableField id="7" name="Desc 2" tableColumnId="7"/>
      <queryTableField id="8" name="Desc 3" tableColumnId="8"/>
      <queryTableField id="9" name="Desc 4" tableColumnId="9"/>
      <queryTableField id="10" name="Desc 5" tableColumnId="10"/>
      <queryTableField id="11" name="Desc 6" tableColumnId="11"/>
      <queryTableField id="12" name="Desc 7" tableColumnId="12"/>
      <queryTableField id="13" name="Lang 2" tableColumnId="13"/>
      <queryTableField id="14" name="Desc 21" tableColumnId="14"/>
      <queryTableField id="15" name="Desc 22" tableColumnId="15"/>
      <queryTableField id="16" name="Desc 23" tableColumnId="16"/>
      <queryTableField id="17" name="Desc 24" tableColumnId="17"/>
      <queryTableField id="18" name="Desc 25" tableColumnId="18"/>
      <queryTableField id="19" name="Desc 26" tableColumnId="19"/>
      <queryTableField id="20" name="Desc 27" tableColumnId="20"/>
      <queryTableField id="21" name="Unit of measure" tableColumnId="21"/>
      <queryTableField id="22" name="Restriction code" tableColumnId="22"/>
      <queryTableField id="23" name="Rate type" tableColumnId="23"/>
      <queryTableField id="24" name="Champ24" tableColumnId="24"/>
      <queryTableField id="25" name="Champ25" tableColumnId="25"/>
      <queryTableField id="26" name="Base rate %" tableColumnId="26"/>
      <queryTableField id="27" name="Rate amount" tableColumnId="27"/>
      <queryTableField id="28" name="Rate curr" tableColumnId="28"/>
      <queryTableField id="29" name="Rate qty" tableColumnId="29"/>
      <queryTableField id="30" name="Rate qty uom" tableColumnId="30"/>
      <queryTableField id="31" name="Spec App" tableColumnId="31"/>
      <queryTableField id="32" name="Cert Ori" tableColumnId="32"/>
      <queryTableField id="33" name="Cty Grp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9" xr16:uid="{912D8F5F-332A-45C6-ADF3-19D2E1B1D956}" autoFormatId="16" applyNumberFormats="0" applyBorderFormats="0" applyFontFormats="0" applyPatternFormats="0" applyAlignmentFormats="0" applyWidthHeightFormats="0">
  <queryTableRefresh nextId="161">
    <queryTableFields count="47">
      <queryTableField id="108" name="Cl." tableColumnId="1"/>
      <queryTableField id="109" name="Year" tableColumnId="2"/>
      <queryTableField id="110" name="Can HS No." tableColumnId="3"/>
      <queryTableField id="111" name="MFN %" tableColumnId="4"/>
      <queryTableField id="112" name="MFN $" tableColumnId="5"/>
      <queryTableField id="113" name="GPT %" tableColumnId="6"/>
      <queryTableField id="114" name="GPT $" tableColumnId="7"/>
      <queryTableField id="115" name="UST %" tableColumnId="8"/>
      <queryTableField id="116" name="UST $" tableColumnId="9"/>
      <queryTableField id="117" name="MEX %" tableColumnId="10"/>
      <queryTableField id="118" name="MEX $" tableColumnId="11"/>
      <queryTableField id="119" name="OTH %" tableColumnId="12"/>
      <queryTableField id="120" name="OTH $" tableColumnId="13"/>
      <queryTableField id="123" name="OTH2 %" tableColumnId="16"/>
      <queryTableField id="124" name="OTH2 $" tableColumnId="17"/>
      <queryTableField id="133" name="OTH3 %" tableColumnId="26"/>
      <queryTableField id="134" name="OTH3 $" tableColumnId="27"/>
      <queryTableField id="125" name="2450 %" tableColumnId="18"/>
      <queryTableField id="126" name="2450 $" tableColumnId="19"/>
      <queryTableField id="127" name="2460 %" tableColumnId="20"/>
      <queryTableField id="128" name="2460 $" tableColumnId="21"/>
      <queryTableField id="129" name="2475 %" tableColumnId="22"/>
      <queryTableField id="130" name="2475 $" tableColumnId="23"/>
      <queryTableField id="131" name="FREE %" tableColumnId="24"/>
      <queryTableField id="132" name="FREE $" tableColumnId="25"/>
      <queryTableField id="135" name="OTH4 %" tableColumnId="28"/>
      <queryTableField id="136" name="OTH4 $" tableColumnId="29"/>
      <queryTableField id="137" name="OTH5 %" tableColumnId="30"/>
      <queryTableField id="138" name="OTH5 $" tableColumnId="31"/>
      <queryTableField id="139" name="OTH6 %" tableColumnId="32"/>
      <queryTableField id="140" name="OTH6 $" tableColumnId="33"/>
      <queryTableField id="141" name="OTH7 %" tableColumnId="34"/>
      <queryTableField id="142" name="OTH7 $" tableColumnId="35"/>
      <queryTableField id="155" name="OTH8 %" tableColumnId="14"/>
      <queryTableField id="156" name="OTH8 $" tableColumnId="15"/>
      <queryTableField id="143" name="UOM %" tableColumnId="36"/>
      <queryTableField id="144" name="UOM $" tableColumnId="37"/>
      <queryTableField id="145" name="STAT UOM" tableColumnId="38"/>
      <queryTableField id="146" name="STAT1 UOM" tableColumnId="39"/>
      <queryTableField id="147" name="STAT1 QTY" tableColumnId="40"/>
      <queryTableField id="148" name="STAT2 UOM" tableColumnId="41"/>
      <queryTableField id="149" name="STAT2 QTY" tableColumnId="42"/>
      <queryTableField id="150" name="Mex-US %" tableColumnId="43"/>
      <queryTableField id="151" name="Mex-US $" tableColumnId="44"/>
      <queryTableField id="152" name="Rest Cd" tableColumnId="45"/>
      <queryTableField id="153" name="Date from" tableColumnId="46"/>
      <queryTableField id="154" name="Date to" tableColumnId="4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0" xr16:uid="{3768762F-018E-4375-958B-8B435CC5DC3A}" autoFormatId="16" applyNumberFormats="0" applyBorderFormats="0" applyFontFormats="0" applyPatternFormats="0" applyAlignmentFormats="0" applyWidthHeightFormats="0">
  <queryTableRefresh nextId="155">
    <queryTableFields count="26">
      <queryTableField id="129" name="Cl." tableColumnId="1"/>
      <queryTableField id="130" name="Year" tableColumnId="2"/>
      <queryTableField id="131" name="US HS No." tableColumnId="3"/>
      <queryTableField id="132" name="GEN %" tableColumnId="4"/>
      <queryTableField id="133" name="GEN $" tableColumnId="5"/>
      <queryTableField id="134" name="CAN %" tableColumnId="6"/>
      <queryTableField id="135" name="CAN $" tableColumnId="7"/>
      <queryTableField id="136" name="MEX %" tableColumnId="8"/>
      <queryTableField id="137" name="MEX $" tableColumnId="9"/>
      <queryTableField id="138" name="UMX %" tableColumnId="10"/>
      <queryTableField id="139" name="UMX $" tableColumnId="11"/>
      <queryTableField id="140" name="OTH %" tableColumnId="12"/>
      <queryTableField id="141" name="OTH $" tableColumnId="13"/>
      <queryTableField id="142" name="OTH1 %" tableColumnId="14"/>
      <queryTableField id="143" name="OTH1 $" tableColumnId="15"/>
      <queryTableField id="144" name="OTH2 %" tableColumnId="16"/>
      <queryTableField id="145" name="OTH2 $" tableColumnId="17"/>
      <queryTableField id="146" name="OTH3 %" tableColumnId="18"/>
      <queryTableField id="147" name="OTH3 $" tableColumnId="19"/>
      <queryTableField id="148" name="UOM %" tableColumnId="20"/>
      <queryTableField id="149" name="UOM $" tableColumnId="21"/>
      <queryTableField id="150" name="STAT UOM" tableColumnId="22"/>
      <queryTableField id="151" name="STAT QTY" tableColumnId="23"/>
      <queryTableField id="152" name="STAT2 UOM" tableColumnId="24"/>
      <queryTableField id="153" name="STAT2 QTY" tableColumnId="25"/>
      <queryTableField id="154" name="Restr" tableColumnId="2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A278F22-A43C-47B3-833B-7052DDBE18E4}" name="TableFileListDTR" displayName="TableFileListDTR" ref="H2:H4" insertRow="1" totalsRowCount="1">
  <autoFilter ref="H2:H3" xr:uid="{2A278F22-A43C-47B3-833B-7052DDBE18E4}"/>
  <tableColumns count="1">
    <tableColumn id="1" xr3:uid="{26098C02-F027-49CE-A2D6-6361B0E700B5}" name="DTR File List" totalsRowFunction="count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6413A0-F13C-4A7C-BDE2-268796988D04}" name="TableFileListNOM" displayName="TableFileListNOM" ref="J2:J4" insertRow="1" totalsRowCount="1">
  <autoFilter ref="J2:J3" xr:uid="{886413A0-F13C-4A7C-BDE2-268796988D04}"/>
  <tableColumns count="1">
    <tableColumn id="1" xr3:uid="{64D4C891-E29C-427D-9E72-EC8D58C09C4E}" name="NOM File List" totalsRowFunction="count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F151A05-0B25-446A-AE00-5BAFA162D344}" name="TableFileListTXT" displayName="TableFileListTXT" ref="L2:L4" insertRow="1" totalsRowCount="1">
  <autoFilter ref="L2:L3" xr:uid="{3F151A05-0B25-446A-AE00-5BAFA162D344}"/>
  <tableColumns count="1">
    <tableColumn id="1" xr3:uid="{30429B6C-EFD9-4EBB-9507-1F2230487672}" name="TXT File List" totalsRowFunction="count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91FDF2-DD60-4D28-BC92-D9D97D0D40B7}" name="usRateType" displayName="usRateType" ref="AC6:AE150" totalsRowShown="0">
  <autoFilter ref="AC6:AE150" xr:uid="{2191FDF2-DD60-4D28-BC92-D9D97D0D40B7}"/>
  <tableColumns count="3">
    <tableColumn id="1" xr3:uid="{EEFA5705-CA2E-4AF2-99F6-87CA881DEE3A}" name="Descartes CG" dataDxfId="165"/>
    <tableColumn id="2" xr3:uid="{679E06B9-BF27-4BAD-A9C3-7E1416CE83F2}" name="Comment" dataDxfId="164"/>
    <tableColumn id="4" xr3:uid="{2D56B6F1-25E0-4245-99DA-05DAFE40AB0B}" name="Description" dataDxfId="1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647109B-AF85-4C38-9CCA-9F2DAF05D4C7}" name="usUOM" displayName="usUOM" ref="AC152:AD200" totalsRowShown="0">
  <autoFilter ref="AC152:AD200" xr:uid="{4647109B-AF85-4C38-9CCA-9F2DAF05D4C7}"/>
  <tableColumns count="2">
    <tableColumn id="1" xr3:uid="{AA9BD265-E303-4514-8D05-EB89E79D315B}" name="Descartes UOM"/>
    <tableColumn id="2" xr3:uid="{8CC9A352-16AE-4470-95F5-EE1CDDAAF014}" name="SAP U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37D6E15-8DA3-4DFF-BDA4-49F5360C907B}" name="auRateType" displayName="auRateType" ref="A6:C37" totalsRowShown="0">
  <autoFilter ref="A6:C37" xr:uid="{A37D6E15-8DA3-4DFF-BDA4-49F5360C907B}"/>
  <tableColumns count="3">
    <tableColumn id="1" xr3:uid="{831E072A-2218-4614-AF1B-670B546B7DE0}" name="Descartes CG"/>
    <tableColumn id="2" xr3:uid="{B57F4B02-080B-4BDD-B895-3EC61EBC629F}" name="Comment"/>
    <tableColumn id="3" xr3:uid="{868652C8-9731-4E48-B669-3D07A527A68C}" name="Description" dataDxfId="16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17D7B6-9013-4858-84AA-6874DA2F9C8F}" name="auUOM" displayName="auUOM" ref="A39:B61" totalsRowShown="0">
  <autoFilter ref="A39:B61" xr:uid="{0717D7B6-9013-4858-84AA-6874DA2F9C8F}"/>
  <tableColumns count="2">
    <tableColumn id="1" xr3:uid="{9E93B9F3-8F8F-458F-A41E-6EB31FCBEE02}" name="Descartes UOM"/>
    <tableColumn id="2" xr3:uid="{240A5740-48DA-4605-BC03-F415C9D47407}" name="SAP U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6927CB5-0600-43CD-BE87-282467FF2AD2}" name="brRateType" displayName="brRateType" ref="E6:G67" totalsRowShown="0">
  <autoFilter ref="E6:G67" xr:uid="{A6927CB5-0600-43CD-BE87-282467FF2AD2}"/>
  <tableColumns count="3">
    <tableColumn id="1" xr3:uid="{48D8439F-D35B-468A-B6DA-8269F4F21F8B}" name="Descartes CG"/>
    <tableColumn id="2" xr3:uid="{1B8D0BBC-7FB7-4924-93AB-029CD3EDE5D8}" name="Comment"/>
    <tableColumn id="3" xr3:uid="{A753F42D-E9BA-4411-A541-D8008E41825A}" name="Description" dataDxfId="1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A8A79C8-7A00-4049-BEE4-D9E9FA1B734E}" name="brUOM" displayName="brUOM" ref="E69:F84" totalsRowShown="0">
  <autoFilter ref="E69:F84" xr:uid="{0A8A79C8-7A00-4049-BEE4-D9E9FA1B734E}"/>
  <tableColumns count="2">
    <tableColumn id="1" xr3:uid="{36BCCC88-3528-4113-BF5F-FAB030D86326}" name="Descartes UOM"/>
    <tableColumn id="2" xr3:uid="{C6EBAB03-D8C6-4236-A15E-5A78D3F7910C}" name="SAP UO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103311-3944-4D6A-A5D6-CA14E11A5B73}" name="caRateType" displayName="caRateType" ref="I6:K32" totalsRowShown="0">
  <autoFilter ref="I6:K32" xr:uid="{4A103311-3944-4D6A-A5D6-CA14E11A5B73}"/>
  <tableColumns count="3">
    <tableColumn id="1" xr3:uid="{761867A2-523A-4A0C-8F0C-3FCD57CE1583}" name="Descartes CG"/>
    <tableColumn id="2" xr3:uid="{317C5D5A-BA14-48B3-8C60-E7F9C9789EE3}" name="Comment"/>
    <tableColumn id="3" xr3:uid="{C967EA42-4C3E-4779-81B7-A26CCFE16545}" name="Description" dataDxfId="16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D321DC-19C1-4036-A5F6-FC4694F64C26}" name="caUOM" displayName="caUOM" ref="I34:J59" totalsRowShown="0">
  <autoFilter ref="I34:J59" xr:uid="{61D321DC-19C1-4036-A5F6-FC4694F64C26}"/>
  <tableColumns count="2">
    <tableColumn id="1" xr3:uid="{F499625F-E1E3-4598-8034-35AB28863779}" name="Descartes UOM"/>
    <tableColumn id="2" xr3:uid="{C2556CA3-3833-4B04-A5B0-5A61E6874A34}" name="SAP UOM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5ECFCCC-90EC-4FCF-98D3-DBA30E7E4491}" name="euRateType" displayName="euRateType" ref="M6:O37" totalsRowShown="0">
  <autoFilter ref="M6:O37" xr:uid="{95ECFCCC-90EC-4FCF-98D3-DBA30E7E4491}"/>
  <tableColumns count="3">
    <tableColumn id="1" xr3:uid="{434BFB43-7A70-4979-BFFD-9DE4F681BC10}" name="Descartes CG"/>
    <tableColumn id="2" xr3:uid="{2806443C-EF58-4531-9805-504430C9D63D}" name="Comment"/>
    <tableColumn id="3" xr3:uid="{8A6BF78C-F5EA-40C3-A0D6-C80F466B71F5}" name="Description" dataDxfId="15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4FA3E23-D302-4ED0-9157-121693D19670}" name="euUOM" displayName="euUOM" ref="M39:N69" totalsRowShown="0">
  <autoFilter ref="M39:N69" xr:uid="{E4FA3E23-D302-4ED0-9157-121693D19670}"/>
  <tableColumns count="2">
    <tableColumn id="1" xr3:uid="{23DDC036-0DCF-4276-9A7B-1AC972B97488}" name="Descartes UOM"/>
    <tableColumn id="2" xr3:uid="{49226432-DACE-41BD-B1B1-22BFD83AB369}" name="SAP UOM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DBDDEAB-A8A5-411C-AA6E-22D1399BAE2E}" name="mxRateType" displayName="mxRateType" ref="Q6:S87" totalsRowShown="0">
  <autoFilter ref="Q6:S87" xr:uid="{3DBDDEAB-A8A5-411C-AA6E-22D1399BAE2E}"/>
  <tableColumns count="3">
    <tableColumn id="1" xr3:uid="{485FE1CE-B281-443C-B683-98B972C1BC93}" name="Descartes CG"/>
    <tableColumn id="2" xr3:uid="{7BE86422-C059-481D-861A-7992757C85CF}" name="Comment"/>
    <tableColumn id="3" xr3:uid="{65F2A5F3-48E3-4FD4-B58C-ACEAFAC1B9C3}" name="Description" dataDxfId="15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AED8BF-7A9C-4418-A0DF-B1DBFCBA8D0F}" name="mxUOM" displayName="mxUOM" ref="Q89:R104" totalsRowShown="0">
  <autoFilter ref="Q89:R104" xr:uid="{70AED8BF-7A9C-4418-A0DF-B1DBFCBA8D0F}"/>
  <tableColumns count="2">
    <tableColumn id="1" xr3:uid="{DD7028B4-BA8A-4B30-9E1D-A4C72FA703A2}" name="Descartes UOM"/>
    <tableColumn id="2" xr3:uid="{401B1AFD-7AAC-4A36-A15C-07402B85188C}" name="SAP UOM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B791778-CD59-40B1-9A3E-676B83681BA8}" name="nzRateType" displayName="nzRateType" ref="U6:W26" totalsRowShown="0">
  <autoFilter ref="U6:W26" xr:uid="{1B791778-CD59-40B1-9A3E-676B83681BA8}"/>
  <tableColumns count="3">
    <tableColumn id="1" xr3:uid="{7DBF5FE7-4878-4DEB-863F-5ABC8939CB16}" name="Descartes CG"/>
    <tableColumn id="2" xr3:uid="{1E600D41-D022-4801-9B1D-32F2F8E7A904}" name="Comment"/>
    <tableColumn id="3" xr3:uid="{A946F8F0-444B-4449-B4FE-C5C2A638EBF0}" name="Description" dataDxfId="15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1C9F6B-B68D-4E09-AA76-B30748A72000}" name="nzUOM" displayName="nzUOM" ref="U28:V67" totalsRowShown="0">
  <autoFilter ref="U28:V67" xr:uid="{661C9F6B-B68D-4E09-AA76-B30748A72000}"/>
  <tableColumns count="2">
    <tableColumn id="1" xr3:uid="{C397659A-5A92-4881-9D59-E75375C2C121}" name="Descartes UOM"/>
    <tableColumn id="2" xr3:uid="{9D5B4865-E7B8-4073-B813-9A9595ED3865}" name="SAP UO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D26561C-2BF4-44D7-AFAA-780CF39D753B}" name="ruRateType" displayName="ruRateType" ref="Y6:AA13" totalsRowShown="0">
  <autoFilter ref="Y6:AA13" xr:uid="{6D26561C-2BF4-44D7-AFAA-780CF39D753B}"/>
  <tableColumns count="3">
    <tableColumn id="1" xr3:uid="{8D3FBDC6-5DC4-4F92-A68C-F677FBBA1D4C}" name="Descartes CG"/>
    <tableColumn id="2" xr3:uid="{391D4835-7318-495F-94B9-18D8DC0E08AD}" name="Comment"/>
    <tableColumn id="3" xr3:uid="{05BDD08F-7A24-4EE9-B64D-F6DFECAA1EA9}" name="Description" dataDxfId="15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33F895-B4DE-405D-8796-F4BE8B68C139}" name="ruUOM" displayName="ruUOM" ref="Y15:Z19" totalsRowShown="0">
  <autoFilter ref="Y15:Z19" xr:uid="{D133F895-B4DE-405D-8796-F4BE8B68C139}"/>
  <tableColumns count="2">
    <tableColumn id="1" xr3:uid="{6BC20DE5-1A00-41AE-A493-B29D8B4219F6}" name="Descartes UOM"/>
    <tableColumn id="2" xr3:uid="{046E462F-016C-49DF-811E-442187FA59DA}" name="SAP UOM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5BD2E8F-372A-40CD-9CE5-8AD51D09C1AB}" name="euCountryList" displayName="euCountryList" ref="M71:M98" totalsRowShown="0">
  <autoFilter ref="M71:M98" xr:uid="{D5BD2E8F-372A-40CD-9CE5-8AD51D09C1AB}"/>
  <tableColumns count="1">
    <tableColumn id="1" xr3:uid="{D4EE35CF-08CE-4F8D-9F4C-07A53B0F1B23}" name="Country List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715D420-6394-495B-9FB3-22E487B97632}" name="Table34" displayName="Table34" ref="AK2:AL19" totalsRowShown="0" headerRowDxfId="155">
  <autoFilter ref="AK2:AL19" xr:uid="{3715D420-6394-495B-9FB3-22E487B97632}"/>
  <tableColumns count="2">
    <tableColumn id="1" xr3:uid="{B0398A33-4A4A-4638-B7B6-59179ED7996E}" name="Duty_rate_type"/>
    <tableColumn id="2" xr3:uid="{2882C569-3A36-4AE6-9741-5B0465B9448F}" name="Definitions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6F1966-7154-4A89-B0C9-5D2237D523A1}" name="vnUOM" displayName="vnUOM" ref="AG261:AH276" totalsRowShown="0">
  <autoFilter ref="AG261:AH276" xr:uid="{346F1966-7154-4A89-B0C9-5D2237D523A1}"/>
  <tableColumns count="2">
    <tableColumn id="1" xr3:uid="{603A8408-C5E0-484D-9604-AD785EDAEE9C}" name="Descartes UOM"/>
    <tableColumn id="2" xr3:uid="{6C5293BC-DEF9-44C1-899F-FFD44A915C42}" name="SAP UOM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63C69E3-E6B9-445A-8761-A8E6DA980E0A}" name="vnRateType" displayName="vnRateType" ref="AG6:AI259" totalsRowShown="0" headerRowDxfId="154" headerRowBorderDxfId="153" tableBorderDxfId="152">
  <autoFilter ref="AG6:AI259" xr:uid="{E63C69E3-E6B9-445A-8761-A8E6DA980E0A}"/>
  <tableColumns count="3">
    <tableColumn id="1" xr3:uid="{0A4A3754-0D8F-47F7-A05B-02E7C54E6034}" name="Descartes CG"/>
    <tableColumn id="2" xr3:uid="{774A211A-5B9D-4848-816B-959ABA44351B}" name="Comment"/>
    <tableColumn id="3" xr3:uid="{338735A1-0E53-4169-B9BA-5A828C1E0516}" name="Descript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07FA3F-E2D5-4A6E-A6FB-FF799C8A2B50}" name="TableDTR" displayName="TableDTR" ref="A3:AE4" tableType="xml" insertRow="1" totalsRowShown="0" connectionId="2">
  <autoFilter ref="A3:AE4" xr:uid="{9107FA3F-E2D5-4A6E-A6FB-FF799C8A2B50}"/>
  <tableColumns count="31">
    <tableColumn id="1" xr3:uid="{57F28517-84E9-4B20-87DE-7D744A07A5F2}" uniqueName="version" name="version">
      <xmlColumnPr mapId="41" xpath="/duty_rate/head/version" xmlDataType="string"/>
    </tableColumn>
    <tableColumn id="2" xr3:uid="{43D97CDB-5551-424D-89DA-0DC500EF24C6}" uniqueName="version_date" name="version_date">
      <xmlColumnPr mapId="41" xpath="/duty_rate/head/version_date" xmlDataType="date"/>
    </tableColumn>
    <tableColumn id="3" xr3:uid="{E311CA7C-50BD-46FA-A6B1-9FD06E6FA6BB}" uniqueName="version_number" name="version_number">
      <xmlColumnPr mapId="41" xpath="/duty_rate/head/version_number" xmlDataType="unsignedShort"/>
    </tableColumn>
    <tableColumn id="4" xr3:uid="{73747410-B233-4150-83EC-3944F0F4E88F}" uniqueName="upload_initial" name="upload_initial">
      <xmlColumnPr mapId="41" xpath="/duty_rate/head/upload_initial" xmlDataType="boolean"/>
    </tableColumn>
    <tableColumn id="102" xr3:uid="{5BE42832-6A77-4AE3-B9FA-FA185615096B}" uniqueName="102" name="hs_flag"/>
    <tableColumn id="16" xr3:uid="{9EE22D3D-F7C9-4E25-BFAA-A41513B786BE}" uniqueName="hs_id" name="hs">
      <xmlColumnPr mapId="41" xpath="/duty_rate/body/duty_rate_entity/@hs_id" xmlDataType="string"/>
    </tableColumn>
    <tableColumn id="19" xr3:uid="{8599D735-23B9-4AD1-B172-866DB0E6DCF8}" uniqueName="valid_from" name="valid_from">
      <xmlColumnPr mapId="41" xpath="/duty_rate/body/duty_rate_entity/@valid_from" xmlDataType="date"/>
    </tableColumn>
    <tableColumn id="20" xr3:uid="{68A3D8A1-D163-49C8-A4F3-9661FC98B923}" uniqueName="valid_to" name="valid_to">
      <xmlColumnPr mapId="41" xpath="/duty_rate/body/duty_rate_entity/@valid_to" xmlDataType="date"/>
    </tableColumn>
    <tableColumn id="6" xr3:uid="{B3C95CC7-331E-457E-9DD8-171C056F5DF7}" uniqueName="duty_rate_type" name="duty_rate_type" dataDxfId="151">
      <xmlColumnPr mapId="41" xpath="/duty_rate/body/duty_rate_entity/@duty_rate_type" xmlDataType="string"/>
    </tableColumn>
    <tableColumn id="5" xr3:uid="{4512A599-7387-4F3C-9155-3A1E562904EC}" uniqueName="mn_id" name="mn_id" dataDxfId="150">
      <xmlColumnPr mapId="41" xpath="/duty_rate/body/duty_rate_entity/@mn_id" xmlDataType="unsignedInt"/>
    </tableColumn>
    <tableColumn id="22" xr3:uid="{4054FEA9-EDAB-4B7A-965A-2DE72D8E551E}" uniqueName="id" name="country_group">
      <xmlColumnPr mapId="41" xpath="/duty_rate/body/duty_rate_entity/country_group/@id" xmlDataType="string"/>
    </tableColumn>
    <tableColumn id="7" xr3:uid="{11C7C5F5-63D6-4C97-8C26-54AB41BD6A2E}" uniqueName="7" name="concat_cg_drt" dataDxfId="149"/>
    <tableColumn id="29" xr3:uid="{2431B536-C99E-409E-97D9-EDE97E0C3FBD}" uniqueName="text" name="complexRate_text">
      <xmlColumnPr mapId="41" xpath="/duty_rate/body/duty_rate_entity/country_group/rate/constraint/complexRate/descriptions/description/@text" xmlDataType="string"/>
    </tableColumn>
    <tableColumn id="31" xr3:uid="{58DB732D-CD95-426B-B7D6-B5A2C5EBA54A}" uniqueName="percentage" name="compoundRate_percentage">
      <xmlColumnPr mapId="41" xpath="/duty_rate/body/duty_rate_entity/country_group/rate/constraint/compoundRate/@percentage" xmlDataType="decimal"/>
    </tableColumn>
    <tableColumn id="32" xr3:uid="{C3161678-DB2D-499B-B454-436330C1DBC7}" uniqueName="ratePerUOM" name="compoundRate_ratePerUOM">
      <xmlColumnPr mapId="41" xpath="/duty_rate/body/duty_rate_entity/country_group/rate/constraint/compoundRate/@ratePerUOM" xmlDataType="decimal"/>
    </tableColumn>
    <tableColumn id="33" xr3:uid="{30500DFB-2A92-4832-A2C3-8C93BB94E004}" uniqueName="currency" name="compoundRate_currency">
      <xmlColumnPr mapId="41" xpath="/duty_rate/body/duty_rate_entity/country_group/rate/constraint/compoundRate/@currency" xmlDataType="string"/>
    </tableColumn>
    <tableColumn id="34" xr3:uid="{5ADF59BB-14B4-44D2-81D9-E6D44F10D324}" uniqueName="multiplier" name="compoundRate_multiplier">
      <xmlColumnPr mapId="41" xpath="/duty_rate/body/duty_rate_entity/country_group/rate/constraint/compoundRate/@multiplier" xmlDataType="unsignedShort"/>
    </tableColumn>
    <tableColumn id="35" xr3:uid="{D1138BA6-291A-47D2-9B0D-0FBED9E5FAEA}" uniqueName="UOM" name="compoundRate_UOM">
      <xmlColumnPr mapId="41" xpath="/duty_rate/body/duty_rate_entity/country_group/rate/constraint/compoundRate/@UOM" xmlDataType="string"/>
    </tableColumn>
    <tableColumn id="37" xr3:uid="{43D8D38B-AA09-4410-8BB0-5E582EDF1B0E}" uniqueName="text" name="compoundRate_text">
      <xmlColumnPr mapId="41" xpath="/duty_rate/body/duty_rate_entity/country_group/rate/constraint/compoundRate/descriptions/description/@text" xmlDataType="string"/>
    </tableColumn>
    <tableColumn id="39" xr3:uid="{327DEC81-D498-4797-98C4-CCF7E6F1EB53}" uniqueName="ratePerUOM" name="specificRate_ratePerUOM">
      <xmlColumnPr mapId="41" xpath="/duty_rate/body/duty_rate_entity/country_group/rate/constraint/specificRate/@ratePerUOM" xmlDataType="decimal"/>
    </tableColumn>
    <tableColumn id="40" xr3:uid="{E60545B9-CFCE-4A25-A14A-F004A57F8B25}" uniqueName="currency" name="specificRate_currency">
      <xmlColumnPr mapId="41" xpath="/duty_rate/body/duty_rate_entity/country_group/rate/constraint/specificRate/@currency" xmlDataType="string"/>
    </tableColumn>
    <tableColumn id="41" xr3:uid="{C7459592-2FBF-4143-97BA-9B75B4EEA453}" uniqueName="multiplier" name="specificRate_multiplier">
      <xmlColumnPr mapId="41" xpath="/duty_rate/body/duty_rate_entity/country_group/rate/constraint/specificRate/@multiplier" xmlDataType="unsignedShort"/>
    </tableColumn>
    <tableColumn id="42" xr3:uid="{F8CA1C9E-9F19-4C58-BCCE-9382A21B042C}" uniqueName="UOM" name="specificRate_UOM">
      <xmlColumnPr mapId="41" xpath="/duty_rate/body/duty_rate_entity/country_group/rate/constraint/specificRate/@UOM" xmlDataType="string"/>
    </tableColumn>
    <tableColumn id="44" xr3:uid="{0EDB2C06-3455-4054-BD87-691A8F7BF2DE}" uniqueName="text" name="specificRate_text">
      <xmlColumnPr mapId="41" xpath="/duty_rate/body/duty_rate_entity/country_group/rate/constraint/specificRate/descriptions/description/@text" xmlDataType="string"/>
    </tableColumn>
    <tableColumn id="46" xr3:uid="{72E8650E-03BE-4D06-8BFE-17A01C96051D}" uniqueName="percentage" name="adValoremRate_percentage">
      <xmlColumnPr mapId="41" xpath="/duty_rate/body/duty_rate_entity/country_group/rate/constraint/adValoremRate/@percentage" xmlDataType="decimal"/>
    </tableColumn>
    <tableColumn id="48" xr3:uid="{6F181CF7-106A-49AA-BAA0-92F03618F38C}" uniqueName="text" name="adValoremRate_text">
      <xmlColumnPr mapId="41" xpath="/duty_rate/body/duty_rate_entity/country_group/rate/constraint/adValoremRate/descriptions/description/@text" xmlDataType="string"/>
    </tableColumn>
    <tableColumn id="51" xr3:uid="{13DA7486-4C57-4DC0-931D-5094ACF8C2D2}" uniqueName="text" name="freeRate_text">
      <xmlColumnPr mapId="41" xpath="/duty_rate/body/duty_rate_entity/country_group/rate/constraint/freeRate/descriptions/description/@text" xmlDataType="string"/>
    </tableColumn>
    <tableColumn id="58" xr3:uid="{27FE1F5F-E113-43AF-A4C2-7D591862FD92}" uniqueName="text_element_id" name="text_element_id">
      <xmlColumnPr mapId="41" xpath="/duty_rate/body/duty_rate_entity/country_group/footnotes/text_element_id" xmlDataType="string"/>
    </tableColumn>
    <tableColumn id="62" xr3:uid="{7BB60CC4-6F75-4005-B8FF-24178613EFE4}" uniqueName="iso_country_code" name="country">
      <xmlColumnPr mapId="41" xpath="/duty_rate/body/duty_rate_entity/country/@iso_country_code" xmlDataType="string"/>
    </tableColumn>
    <tableColumn id="64" xr3:uid="{8B08C519-A720-4794-92CE-0C96FDC4C73E}" uniqueName="regulation" name="regulation">
      <xmlColumnPr mapId="41" xpath="/duty_rate/body/duty_rate_entity/country/regulation" xmlDataType="string"/>
    </tableColumn>
    <tableColumn id="101" xr3:uid="{2565B70F-B871-472B-8D9D-C8E96FE02ECA}" uniqueName="text_element_id" name="country_text_element_id">
      <xmlColumnPr mapId="41" xpath="/duty_rate/body/duty_rate_entity/country/footnotes/text_element_id" xmlDataType="string"/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3AC3B5-892D-4A4F-A3BD-A16D36B39AFD}" name="TableNOM" displayName="TableNOM" ref="A3:U4" tableType="xml" insertRow="1" totalsRowShown="0" connectionId="3">
  <autoFilter ref="A3:U4" xr:uid="{373AC3B5-892D-4A4F-A3BD-A16D36B39AFD}"/>
  <tableColumns count="21">
    <tableColumn id="1" xr3:uid="{D6BAA469-9F24-4BE9-8DB1-B4FF7F10C49F}" uniqueName="version" name="version">
      <xmlColumnPr mapId="36" xpath="/legal_numbering_exchange/head/version" xmlDataType="string"/>
    </tableColumn>
    <tableColumn id="2" xr3:uid="{50EB30E4-3546-4A5C-AA31-4541195A52FE}" uniqueName="version_date" name="version_date">
      <xmlColumnPr mapId="36" xpath="/legal_numbering_exchange/head/version_date" xmlDataType="date"/>
    </tableColumn>
    <tableColumn id="3" xr3:uid="{455CE7D9-E17A-4E44-97A0-8CADC994DF73}" uniqueName="version_number" name="version_number">
      <xmlColumnPr mapId="36" xpath="/legal_numbering_exchange/head/version_number" xmlDataType="unsignedShort"/>
    </tableColumn>
    <tableColumn id="4" xr3:uid="{D1430B48-E043-4027-9776-230108F9307B}" uniqueName="upload_initial" name="upload_initial">
      <xmlColumnPr mapId="36" xpath="/legal_numbering_exchange/head/upload_initial" xmlDataType="boolean"/>
    </tableColumn>
    <tableColumn id="47" xr3:uid="{83A8E747-4202-49B5-BF32-8BA3486F7991}" uniqueName="47" name="hs_flag"/>
    <tableColumn id="25" xr3:uid="{1E4A2229-A2F3-4EBF-A63B-2E04620B2FF2}" uniqueName="number" name="hs">
      <xmlColumnPr mapId="36" xpath="/legal_numbering_exchange/body/number_data/number" xmlDataType="string"/>
    </tableColumn>
    <tableColumn id="26" xr3:uid="{C7CC3FD3-E514-4327-889B-524669AB3757}" uniqueName="id" name="id">
      <xmlColumnPr mapId="36" xpath="/legal_numbering_exchange/body/number_data/id" xmlDataType="string"/>
    </tableColumn>
    <tableColumn id="28" xr3:uid="{E7C30FD3-B7AE-4E7D-A91E-AD00AAA92217}" uniqueName="parent_id" name="parent_id">
      <xmlColumnPr mapId="36" xpath="/legal_numbering_exchange/body/number_data/parent_id" xmlDataType="string"/>
    </tableColumn>
    <tableColumn id="29" xr3:uid="{AD821EA5-C3C0-4778-96F0-437FEEBB6713}" uniqueName="level_id" name="level_id">
      <xmlColumnPr mapId="36" xpath="/legal_numbering_exchange/body/number_data/level_id" xmlDataType="unsignedByte"/>
    </tableColumn>
    <tableColumn id="30" xr3:uid="{6D930242-8675-44B3-80D1-E1C28E6471C3}" uniqueName="validity_begin" name="valid_from">
      <xmlColumnPr mapId="36" xpath="/legal_numbering_exchange/body/number_data/validity_begin" xmlDataType="date"/>
    </tableColumn>
    <tableColumn id="31" xr3:uid="{B581FE03-9E90-4491-94E7-258E5D48DF3F}" uniqueName="validity_end" name="valid_to">
      <xmlColumnPr mapId="36" xpath="/legal_numbering_exchange/body/number_data/validity_end" xmlDataType="date"/>
    </tableColumn>
    <tableColumn id="35" xr3:uid="{D3800D03-87F4-4494-BC50-ADF20686A503}" uniqueName="alternate_unit_1" name="alternate_unit_1">
      <xmlColumnPr mapId="36" xpath="/legal_numbering_exchange/body/number_data/alternate_unit_1" xmlDataType="string"/>
    </tableColumn>
    <tableColumn id="36" xr3:uid="{EF4F1E70-82E8-4B27-8352-B2B53CE84036}" uniqueName="alternate_unit_2" name="alternate_unit_2">
      <xmlColumnPr mapId="36" xpath="/legal_numbering_exchange/body/number_data/alternate_unit_2" xmlDataType="string"/>
    </tableColumn>
    <tableColumn id="37" xr3:uid="{B80C0B45-E927-4F15-B1AB-AC2C93824C9A}" uniqueName="alternate_unit_3" name="alternate_unit_3">
      <xmlColumnPr mapId="36" xpath="/legal_numbering_exchange/body/number_data/alternate_unit_3" xmlDataType="string"/>
    </tableColumn>
    <tableColumn id="49" xr3:uid="{39A4E917-3697-4A81-9EE3-F58C70687EDF}" uniqueName="49" name="full_description" dataDxfId="148"/>
    <tableColumn id="40" xr3:uid="{7AEDCDFC-46EC-401C-8423-12C6CAF39EA8}" uniqueName="text" name="official_description" dataDxfId="147">
      <xmlColumnPr mapId="36" xpath="/legal_numbering_exchange/body/number_data/texts/official_description/text" xmlDataType="string"/>
    </tableColumn>
    <tableColumn id="42" xr3:uid="{374B8090-8E9E-4EEF-98B0-60BE627B6B5D}" uniqueName="text" name="commodity_description">
      <xmlColumnPr mapId="36" xpath="/legal_numbering_exchange/body/number_data/texts/commodity_description/text" xmlDataType="string"/>
    </tableColumn>
    <tableColumn id="43" xr3:uid="{59229090-B6AB-4875-A514-80167536553A}" uniqueName="qualifier" name="qualifier">
      <xmlColumnPr mapId="36" xpath="/legal_numbering_exchange/body/number_data/texts/description_reference/qualifier" xmlDataType="string"/>
    </tableColumn>
    <tableColumn id="44" xr3:uid="{F5FCB6A1-A5D4-42D4-9A2E-C5B71B7C28F3}" uniqueName="text_element_id" name="text_element_id">
      <xmlColumnPr mapId="36" xpath="/legal_numbering_exchange/body/number_data/texts/description_reference/text_element_id" xmlDataType="string"/>
    </tableColumn>
    <tableColumn id="45" xr3:uid="{37AC6627-A8BB-432B-B2F8-047875AFC718}" uniqueName="validity_begin" name="validity_begin">
      <xmlColumnPr mapId="36" xpath="/legal_numbering_exchange/body/number_data/texts/description_reference/validity_begin" xmlDataType="date"/>
    </tableColumn>
    <tableColumn id="46" xr3:uid="{CE157590-3DF8-48C2-A929-B5A5D8F5308E}" uniqueName="validity_end" name="validity_end">
      <xmlColumnPr mapId="36" xpath="/legal_numbering_exchange/body/number_data/texts/description_reference/validity_end" xmlDataType="date"/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2E1C50-326D-4248-9632-2DC3E19E0085}" name="TableLevelDef" displayName="TableLevelDef" ref="L2:M3" tableType="xml" insertRow="1" totalsRowShown="0" connectionId="1">
  <autoFilter ref="L2:M3" xr:uid="{A42E1C50-326D-4248-9632-2DC3E19E0085}"/>
  <tableColumns count="2">
    <tableColumn id="1" xr3:uid="{1E0ACD3F-FDF2-4627-AF13-AF311F9EB115}" uniqueName="level_id" name="level_id" dataDxfId="146">
      <xmlColumnPr mapId="37" xpath="/legal_numbering_exchange/head/level/level_id" xmlDataType="unsignedByte"/>
    </tableColumn>
    <tableColumn id="6" xr3:uid="{979AB43E-46AB-47CD-9412-1689B67BBFC8}" uniqueName="text" name="text">
      <xmlColumnPr mapId="37" xpath="/legal_numbering_exchange/head/level/level_description/text" xmlDataType="string"/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CD51ED-07B6-4310-B934-66C89FA9149B}" name="TableOgaCodeDef" displayName="TableOgaCodeDef" ref="O2:R3" tableType="xml" insertRow="1" totalsRowShown="0" connectionId="3">
  <autoFilter ref="O2:R3" xr:uid="{0FCD51ED-07B6-4310-B934-66C89FA9149B}"/>
  <tableColumns count="4">
    <tableColumn id="1" xr3:uid="{08B93654-7AD9-409C-A89A-10DEC5A8DD5F}" uniqueName="authority_id" name="authority_id" dataDxfId="145">
      <xmlColumnPr mapId="36" xpath="/legal_numbering_exchange/head/oga_code_definition/authority_id" xmlDataType="string"/>
    </tableColumn>
    <tableColumn id="3" xr3:uid="{32D54CF5-A5C5-4B60-8FDF-18ADADC92AD2}" uniqueName="text" name="authority_description">
      <xmlColumnPr mapId="36" xpath="/legal_numbering_exchange/head/oga_code_definition/authority_description/text" xmlDataType="string"/>
    </tableColumn>
    <tableColumn id="4" xr3:uid="{16819B93-8D10-47D4-B3A2-0103D6EBBA93}" uniqueName="oga_code" name="oga_code" dataDxfId="144">
      <xmlColumnPr mapId="36" xpath="/legal_numbering_exchange/head/oga_code_definition/oga_codes/oga_code" xmlDataType="string"/>
    </tableColumn>
    <tableColumn id="6" xr3:uid="{6DE8E7CC-BD60-4CAF-B56E-89EB47DFD8C7}" uniqueName="text" name="oga_description">
      <xmlColumnPr mapId="36" xpath="/legal_numbering_exchange/head/oga_code_definition/oga_codes/oga_description/text" xmlDataType="string"/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F90FFD-A6CB-4A93-B0AD-98722F6CA3FC}" name="TableCountryGroupDef" displayName="TableCountryGroupDef" ref="A2:D3" tableType="xml" insertRow="1" totalsRowShown="0" connectionId="2">
  <autoFilter ref="A2:D3" xr:uid="{56F90FFD-A6CB-4A93-B0AD-98722F6CA3FC}"/>
  <tableColumns count="4">
    <tableColumn id="7" xr3:uid="{26027005-29FB-4D14-973A-BB26A6C6C1B5}" uniqueName="id" name="id" dataDxfId="143">
      <xmlColumnPr mapId="41" xpath="/duty_rate/head/country_group_def/@id" xmlDataType="string"/>
    </tableColumn>
    <tableColumn id="8" xr3:uid="{55DA03B0-ED88-4B16-9804-315E9BE071D0}" uniqueName="valid_from" name="valid_from" dataDxfId="142">
      <xmlColumnPr mapId="41" xpath="/duty_rate/head/country_group_def/@valid_from" xmlDataType="date"/>
    </tableColumn>
    <tableColumn id="9" xr3:uid="{3E4D5AA0-C172-4740-9AD3-B7C1BDEBA82C}" uniqueName="valid_to" name="valid_to" dataDxfId="141">
      <xmlColumnPr mapId="41" xpath="/duty_rate/head/country_group_def/@valid_to" xmlDataType="date"/>
    </tableColumn>
    <tableColumn id="12" xr3:uid="{A14D2633-C7D3-4C03-B27E-342B92A2DCFD}" uniqueName="text" name="text" dataDxfId="140">
      <xmlColumnPr mapId="41" xpath="/duty_rate/head/country_group_def/descriptions/description/@text" xmlDataType="string"/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A3142A-1B92-48C3-8DF3-F6C5569238E2}" name="TableTXT" displayName="TableTXT" ref="F2:J3" tableType="xml" insertRow="1" totalsRowShown="0" connectionId="1">
  <autoFilter ref="F2:J3" xr:uid="{D4A3142A-1B92-48C3-8DF3-F6C5569238E2}"/>
  <tableColumns count="5">
    <tableColumn id="1" xr3:uid="{509034CB-34A4-44CD-A52A-FFF5AEA545E4}" uniqueName="qualifier" name="qualifier" dataDxfId="139">
      <xmlColumnPr mapId="37" xpath="/legal_numbering_exchange/body/texts/qualifier" xmlDataType="string"/>
    </tableColumn>
    <tableColumn id="2" xr3:uid="{9EDBF79F-7CD9-4DD6-8AC0-6D9190CE6AA4}" uniqueName="text_element_id" name="text_element_id" dataDxfId="138">
      <xmlColumnPr mapId="37" xpath="/legal_numbering_exchange/body/texts/text_element_id" xmlDataType="string"/>
    </tableColumn>
    <tableColumn id="5" xr3:uid="{38AEE0C8-36A8-4009-9505-AC36E952C876}" uniqueName="validity_begin" name="valid_from" dataDxfId="137">
      <xmlColumnPr mapId="37" xpath="/legal_numbering_exchange/body/texts/validity_begin" xmlDataType="date"/>
    </tableColumn>
    <tableColumn id="6" xr3:uid="{2E93887D-9134-4895-B779-B6DDEA1B7946}" uniqueName="validity_end" name="valid_to" dataDxfId="136">
      <xmlColumnPr mapId="37" xpath="/legal_numbering_exchange/body/texts/validity_end" xmlDataType="date"/>
    </tableColumn>
    <tableColumn id="8" xr3:uid="{B73E54E4-8864-487B-BFE1-BFADABBC9F27}" uniqueName="text" name="text" dataDxfId="135">
      <xmlColumnPr mapId="37" xpath="/legal_numbering_exchange/body/texts/text_element/text" xmlDataType="string"/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B2053B-5197-42D1-9EDE-9B0F97F87A45}" name="_ZD14" displayName="_ZD14" ref="A5:AG6" tableType="queryTable" insertRow="1" totalsRowShown="0">
  <autoFilter ref="A5:AG6" xr:uid="{D2B2053B-5197-42D1-9EDE-9B0F97F87A45}"/>
  <tableColumns count="33">
    <tableColumn id="35" xr3:uid="{445988F6-4E7E-4E2B-B49F-11C3CFE93F25}" uniqueName="35" name="Country" queryTableFieldId="37" dataDxfId="134"/>
    <tableColumn id="36" xr3:uid="{72F60865-841E-4F65-807E-52E53496CC62}" uniqueName="36" name="HS Number" queryTableFieldId="38" dataDxfId="133"/>
    <tableColumn id="37" xr3:uid="{D1A9F28F-C121-4591-A641-11C343ED70AC}" uniqueName="37" name="Date from" queryTableFieldId="39" dataDxfId="132"/>
    <tableColumn id="38" xr3:uid="{F1AEEDFA-1BC5-4701-8397-FAFE7DC2F43A}" uniqueName="38" name="Date to" queryTableFieldId="40" dataDxfId="131"/>
    <tableColumn id="5" xr3:uid="{31BE0E3D-5DD8-457F-B86F-E6ABFEA6B5C4}" uniqueName="5" name="Lang 1" queryTableFieldId="79" dataDxfId="130"/>
    <tableColumn id="7" xr3:uid="{3CF4902F-C5C9-454C-B152-5DC0D2648A10}" uniqueName="7" name="Desc 1" queryTableFieldId="83" dataDxfId="129"/>
    <tableColumn id="8" xr3:uid="{900E788F-09D9-4CDE-B69A-8270B2E1C7B1}" uniqueName="8" name="Desc 2" queryTableFieldId="84" dataDxfId="128"/>
    <tableColumn id="9" xr3:uid="{4F7D699D-C73A-4BA9-AAD6-90D1F70E2BE4}" uniqueName="9" name="Desc 3" queryTableFieldId="85" dataDxfId="127"/>
    <tableColumn id="10" xr3:uid="{AAF4BD3E-148A-46A7-955B-B7DC8F52CE4D}" uniqueName="10" name="Desc 4" queryTableFieldId="86" dataDxfId="126"/>
    <tableColumn id="11" xr3:uid="{52F93365-C3DD-4D92-ADFA-5AA7FD3553AC}" uniqueName="11" name="Desc 5" queryTableFieldId="87" dataDxfId="125"/>
    <tableColumn id="12" xr3:uid="{C87167D1-FB58-4538-AA74-C6399DEFA206}" uniqueName="12" name="Desc 6" queryTableFieldId="88" dataDxfId="124"/>
    <tableColumn id="13" xr3:uid="{92C2EB30-27BF-46C0-AE12-0FBA20775DB5}" uniqueName="13" name="Desc 7" queryTableFieldId="89" dataDxfId="123"/>
    <tableColumn id="6" xr3:uid="{E5C753C7-9B05-4FDE-AE38-CD1F50DBC3A1}" uniqueName="6" name="Lang 2" queryTableFieldId="80" dataDxfId="122"/>
    <tableColumn id="14" xr3:uid="{40D74377-90F4-45A8-9240-345646B178F5}" uniqueName="14" name="Desc 21" queryTableFieldId="90" dataDxfId="121"/>
    <tableColumn id="15" xr3:uid="{763FC7A8-B87E-4D2D-8F14-F4046030A787}" uniqueName="15" name="Desc 22" queryTableFieldId="91" dataDxfId="120"/>
    <tableColumn id="16" xr3:uid="{56796C24-01EE-488A-B1E4-8DDB465D241F}" uniqueName="16" name="Desc 23" queryTableFieldId="92" dataDxfId="119"/>
    <tableColumn id="17" xr3:uid="{39844108-A5F9-49D8-B2DD-0F2866BE3AB6}" uniqueName="17" name="Desc 24" queryTableFieldId="93" dataDxfId="118"/>
    <tableColumn id="18" xr3:uid="{EA72754D-CDF0-4017-831D-58A322EF1273}" uniqueName="18" name="Desc 25" queryTableFieldId="94" dataDxfId="117"/>
    <tableColumn id="19" xr3:uid="{61620D0B-EBC6-43EA-BBFC-4A255F275CF1}" uniqueName="19" name="Desc 26" queryTableFieldId="95" dataDxfId="116"/>
    <tableColumn id="20" xr3:uid="{EC92B78C-30D8-4148-8E66-34364B6F22E7}" uniqueName="20" name="Desc 27" queryTableFieldId="96" dataDxfId="115"/>
    <tableColumn id="2" xr3:uid="{7050DED2-7617-44B4-A842-938C8FE0B69A}" uniqueName="2" name="Unit of measure" queryTableFieldId="72" dataDxfId="114"/>
    <tableColumn id="48" xr3:uid="{543096B2-C90E-4E5D-97E5-5458BDC346EB}" uniqueName="48" name="Restriction code" queryTableFieldId="59" dataDxfId="113"/>
    <tableColumn id="47" xr3:uid="{0ADB739D-AB2A-4CB0-838E-B4D5E0928865}" uniqueName="47" name="Rate type" queryTableFieldId="57" dataDxfId="112"/>
    <tableColumn id="45" xr3:uid="{B207D865-5BD0-4A08-AE10-8988007BCF88}" uniqueName="45" name="Champ24" queryTableFieldId="53" dataDxfId="111"/>
    <tableColumn id="46" xr3:uid="{53BFFD47-D5DE-416D-BFD2-B1587810002B}" uniqueName="46" name="Champ25" queryTableFieldId="54" dataDxfId="110"/>
    <tableColumn id="39" xr3:uid="{F44CE729-D5EA-4EB8-966E-E70135C3B5B6}" uniqueName="39" name="Base rate %" queryTableFieldId="45"/>
    <tableColumn id="40" xr3:uid="{535E42A2-DC09-42A1-B1DC-6B3ECA377D62}" uniqueName="40" name="Rate amount" queryTableFieldId="46"/>
    <tableColumn id="41" xr3:uid="{0B85B2FF-BA9D-4555-B772-392CB9A48255}" uniqueName="41" name="Rate curr" queryTableFieldId="49" dataDxfId="109"/>
    <tableColumn id="3" xr3:uid="{FC749F35-5531-4CEE-914A-776225943737}" uniqueName="3" name="Rate qty" queryTableFieldId="73" dataDxfId="108"/>
    <tableColumn id="4" xr3:uid="{8B4E03B8-D5F4-43CC-BF77-6C44D1D6981B}" uniqueName="4" name="Rate qty uom" queryTableFieldId="74" dataDxfId="107"/>
    <tableColumn id="42" xr3:uid="{7B415541-E61C-4287-86C8-8E1A826B254C}" uniqueName="42" name="Spec App" queryTableFieldId="50" dataDxfId="106"/>
    <tableColumn id="43" xr3:uid="{12B63527-54C6-407B-8B99-6F7552675477}" uniqueName="43" name="Cert Ori" queryTableFieldId="51" dataDxfId="105"/>
    <tableColumn id="44" xr3:uid="{54BC7D0D-DEC8-412C-A80A-DF5581BAD9E3}" uniqueName="44" name="Cty Grp" queryTableFieldId="52" dataDxfId="10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A4CF7AD-F188-474B-8B27-BB5E195C47EA}" name="CAPDR" displayName="CAPDR" ref="A5:AG6" tableType="queryTable" insertRow="1" totalsRowShown="0">
  <autoFilter ref="A5:AG6" xr:uid="{9A4CF7AD-F188-474B-8B27-BB5E195C47EA}"/>
  <tableColumns count="33">
    <tableColumn id="1" xr3:uid="{CBD1E350-3199-4798-90F0-6A4D844C007F}" uniqueName="1" name="Country" queryTableFieldId="1" dataDxfId="103"/>
    <tableColumn id="2" xr3:uid="{150028EB-BB78-439C-9E58-AA9FA3EB859F}" uniqueName="2" name="HS Number" queryTableFieldId="2" dataDxfId="102"/>
    <tableColumn id="3" xr3:uid="{CD0AD520-F3DA-4A59-B445-71C962F77BD5}" uniqueName="3" name="Date from" queryTableFieldId="3" dataDxfId="101"/>
    <tableColumn id="4" xr3:uid="{482618C5-9100-44B0-B436-5B5003357886}" uniqueName="4" name="Date to" queryTableFieldId="4" dataDxfId="100"/>
    <tableColumn id="5" xr3:uid="{2B436897-63C6-4CD0-AA7C-159212EA661A}" uniqueName="5" name="Lang 1" queryTableFieldId="5" dataDxfId="99"/>
    <tableColumn id="6" xr3:uid="{973AA02A-C8FC-458A-BA7B-CD30D351ED31}" uniqueName="6" name="Desc 1" queryTableFieldId="6"/>
    <tableColumn id="7" xr3:uid="{F1FC7CA0-A4F9-4387-B62C-FB702505A8F9}" uniqueName="7" name="Desc 2" queryTableFieldId="7" dataDxfId="98"/>
    <tableColumn id="8" xr3:uid="{D8B37342-5338-4280-8BF6-7F6151BF8C95}" uniqueName="8" name="Desc 3" queryTableFieldId="8" dataDxfId="97"/>
    <tableColumn id="9" xr3:uid="{6F934EA1-6F11-4EF9-9317-F0756DED3943}" uniqueName="9" name="Desc 4" queryTableFieldId="9" dataDxfId="96"/>
    <tableColumn id="10" xr3:uid="{7482E92F-D058-4D80-828E-D6683A0F29C2}" uniqueName="10" name="Desc 5" queryTableFieldId="10" dataDxfId="95"/>
    <tableColumn id="11" xr3:uid="{B5670964-5744-4CD5-AC21-B7745B208B4F}" uniqueName="11" name="Desc 6" queryTableFieldId="11" dataDxfId="94"/>
    <tableColumn id="12" xr3:uid="{7E19E352-2F99-4B39-BCD1-DDD9AAC2A188}" uniqueName="12" name="Desc 7" queryTableFieldId="12" dataDxfId="93"/>
    <tableColumn id="13" xr3:uid="{8EE74367-535D-485A-BE71-7831C3DCF506}" uniqueName="13" name="Lang 2" queryTableFieldId="13" dataDxfId="92"/>
    <tableColumn id="14" xr3:uid="{99F526D4-DC00-454D-8B30-74652AB6D6CB}" uniqueName="14" name="Desc 21" queryTableFieldId="14"/>
    <tableColumn id="15" xr3:uid="{9FB46C71-6B81-4733-9DA9-AB4A406BA5C9}" uniqueName="15" name="Desc 22" queryTableFieldId="15" dataDxfId="91"/>
    <tableColumn id="16" xr3:uid="{82DDCB69-B85D-416A-B8B3-E08BA092F38D}" uniqueName="16" name="Desc 23" queryTableFieldId="16" dataDxfId="90"/>
    <tableColumn id="17" xr3:uid="{3F9E3BEF-EDC0-4A35-87A0-395A71925895}" uniqueName="17" name="Desc 24" queryTableFieldId="17" dataDxfId="89"/>
    <tableColumn id="18" xr3:uid="{EEFEC147-998D-4946-8193-34782D371FED}" uniqueName="18" name="Desc 25" queryTableFieldId="18" dataDxfId="88"/>
    <tableColumn id="19" xr3:uid="{1BC2BCBD-0E1C-44DB-A2BD-C9CCAA36F424}" uniqueName="19" name="Desc 26" queryTableFieldId="19" dataDxfId="87"/>
    <tableColumn id="20" xr3:uid="{88FFDD55-A061-4620-89A4-3DC7E54EC07B}" uniqueName="20" name="Desc 27" queryTableFieldId="20" dataDxfId="86"/>
    <tableColumn id="21" xr3:uid="{DB77DB88-A7DC-4646-B730-588F82B33C1F}" uniqueName="21" name="Unit of measure" queryTableFieldId="21"/>
    <tableColumn id="22" xr3:uid="{E888B9C7-B308-4613-A152-551785039E12}" uniqueName="22" name="Restriction code" queryTableFieldId="22" dataDxfId="85"/>
    <tableColumn id="23" xr3:uid="{5909CFF0-66D2-435F-B8F2-0A9B08021742}" uniqueName="23" name="Rate type" queryTableFieldId="23" dataDxfId="84"/>
    <tableColumn id="24" xr3:uid="{7F8B3A14-23C3-4136-8A37-EB6E0D9F1E78}" uniqueName="24" name="Champ24" queryTableFieldId="24" dataDxfId="83"/>
    <tableColumn id="25" xr3:uid="{046AAFF3-8FBD-4D88-9289-04FFA68DDEF4}" uniqueName="25" name="Champ25" queryTableFieldId="25" dataDxfId="82"/>
    <tableColumn id="26" xr3:uid="{67432CFA-9890-4377-B8C3-CD9773535F23}" uniqueName="26" name="Base rate %" queryTableFieldId="26" dataDxfId="81"/>
    <tableColumn id="27" xr3:uid="{84F0AD22-BDBC-4116-95BE-43D658839908}" uniqueName="27" name="Rate amount" queryTableFieldId="27" dataDxfId="80"/>
    <tableColumn id="28" xr3:uid="{035ADC3B-01F8-4E69-AAA7-31B74AE23B3E}" uniqueName="28" name="Rate curr" queryTableFieldId="28" dataDxfId="79"/>
    <tableColumn id="29" xr3:uid="{6B3C2D8C-2EE1-4D8D-B55E-44A0B1DA084B}" uniqueName="29" name="Rate qty" queryTableFieldId="29" dataDxfId="78"/>
    <tableColumn id="30" xr3:uid="{5B6752FC-80DB-4AAA-9931-CACFCB7A8D50}" uniqueName="30" name="Rate qty uom" queryTableFieldId="30" dataDxfId="77"/>
    <tableColumn id="31" xr3:uid="{CB9CF4C7-61E9-4489-8C28-0E0E423DA2C0}" uniqueName="31" name="Spec App" queryTableFieldId="31" dataDxfId="76"/>
    <tableColumn id="32" xr3:uid="{56B6C1AA-B7B0-412B-BDE7-D84BBEF5D11A}" uniqueName="32" name="Cert Ori" queryTableFieldId="32" dataDxfId="75"/>
    <tableColumn id="33" xr3:uid="{917F832E-CB57-40AF-BB44-6258C644DDD7}" uniqueName="33" name="Cty Grp" queryTableFieldId="33" dataDxfId="74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1B59B17-6FBD-4809-986F-6BC88D5833A3}" name="MX6Digits" displayName="MX6Digits" ref="A5:AG6" tableType="queryTable" insertRow="1" totalsRowShown="0">
  <autoFilter ref="A5:AG6" xr:uid="{11B59B17-6FBD-4809-986F-6BC88D5833A3}"/>
  <tableColumns count="33">
    <tableColumn id="1" xr3:uid="{60947E47-2E0A-44CE-B91D-5D11A29D6261}" uniqueName="1" name="Country" queryTableFieldId="1" dataDxfId="73"/>
    <tableColumn id="2" xr3:uid="{447BC718-C3E5-4750-B90F-8596E2B61BBF}" uniqueName="2" name="HS Number" queryTableFieldId="2" dataDxfId="72"/>
    <tableColumn id="3" xr3:uid="{51C8A519-699C-4CD7-9227-803165EDF5E1}" uniqueName="3" name="Date from" queryTableFieldId="3" dataDxfId="71"/>
    <tableColumn id="4" xr3:uid="{6C7C617F-E95E-4B86-A0DE-D9867CD558D4}" uniqueName="4" name="Date to" queryTableFieldId="4" dataDxfId="70"/>
    <tableColumn id="5" xr3:uid="{C1A287B5-4533-418B-926D-861BD15A0C15}" uniqueName="5" name="Lang 1" queryTableFieldId="5" dataDxfId="69"/>
    <tableColumn id="6" xr3:uid="{49159997-9BE8-437E-87E2-8B2E7C33E2D9}" uniqueName="6" name="Desc 1" queryTableFieldId="6"/>
    <tableColumn id="7" xr3:uid="{D128AB09-E458-48FC-8D4A-E4CC80CDB3D4}" uniqueName="7" name="Desc 2" queryTableFieldId="7" dataDxfId="68"/>
    <tableColumn id="8" xr3:uid="{7B0ABC01-4307-4FD3-95A4-C2E582DC72A7}" uniqueName="8" name="Desc 3" queryTableFieldId="8" dataDxfId="67"/>
    <tableColumn id="9" xr3:uid="{92DF3329-EFE9-4A4C-AB04-4DB46F7312F3}" uniqueName="9" name="Desc 4" queryTableFieldId="9" dataDxfId="66"/>
    <tableColumn id="10" xr3:uid="{FB50D9FE-49DB-4B9B-9979-91E242D19A10}" uniqueName="10" name="Desc 5" queryTableFieldId="10" dataDxfId="65"/>
    <tableColumn id="11" xr3:uid="{5A03667B-D549-47F8-9777-2057CD5D95E0}" uniqueName="11" name="Desc 6" queryTableFieldId="11" dataDxfId="64"/>
    <tableColumn id="12" xr3:uid="{C2FCE3F9-571F-4C4D-87BC-A59B46D974D8}" uniqueName="12" name="Desc 7" queryTableFieldId="12" dataDxfId="63"/>
    <tableColumn id="13" xr3:uid="{6B9B1763-B9CE-47BB-B761-D3898973EB4B}" uniqueName="13" name="Lang 2" queryTableFieldId="13" dataDxfId="62"/>
    <tableColumn id="14" xr3:uid="{76BA46A3-7CB4-466B-B7BC-DB21182864B5}" uniqueName="14" name="Desc 21" queryTableFieldId="14"/>
    <tableColumn id="15" xr3:uid="{C3B5FADC-4CF7-4986-8E71-723883F11823}" uniqueName="15" name="Desc 22" queryTableFieldId="15" dataDxfId="61"/>
    <tableColumn id="16" xr3:uid="{8372A6AA-1550-4BEF-94BD-983CA97F0098}" uniqueName="16" name="Desc 23" queryTableFieldId="16" dataDxfId="60"/>
    <tableColumn id="17" xr3:uid="{92D13C37-2426-42B0-AD61-A81089F1B1D6}" uniqueName="17" name="Desc 24" queryTableFieldId="17" dataDxfId="59"/>
    <tableColumn id="18" xr3:uid="{9D341378-9E7C-4906-85F4-D593D5E6F5D3}" uniqueName="18" name="Desc 25" queryTableFieldId="18" dataDxfId="58"/>
    <tableColumn id="19" xr3:uid="{ECEE55A5-CCB1-47D9-A570-9621DDCF5711}" uniqueName="19" name="Desc 26" queryTableFieldId="19" dataDxfId="57"/>
    <tableColumn id="20" xr3:uid="{53C87BC0-9723-499F-A89E-FB1985E023A3}" uniqueName="20" name="Desc 27" queryTableFieldId="20" dataDxfId="56"/>
    <tableColumn id="21" xr3:uid="{6CF079BC-5262-4F62-9F99-C077B2D2A69C}" uniqueName="21" name="Unit of measure" queryTableFieldId="21"/>
    <tableColumn id="22" xr3:uid="{2478A882-8769-458E-8C63-632F84761BD6}" uniqueName="22" name="Restriction code" queryTableFieldId="22" dataDxfId="55"/>
    <tableColumn id="23" xr3:uid="{4C51EF20-75F5-4DD1-85C1-4C36F6A90FAE}" uniqueName="23" name="Rate type" queryTableFieldId="23" dataDxfId="54"/>
    <tableColumn id="24" xr3:uid="{A8DB341A-2EF8-4FFC-BBFE-475B6E409AB1}" uniqueName="24" name="Champ24" queryTableFieldId="24" dataDxfId="53"/>
    <tableColumn id="25" xr3:uid="{0FBC8D8D-FB3F-434D-8C34-C1EFB8CE8A99}" uniqueName="25" name="Champ25" queryTableFieldId="25" dataDxfId="52"/>
    <tableColumn id="26" xr3:uid="{4337B061-AF18-4EBF-9E3B-F896F52D34C0}" uniqueName="26" name="Base rate %" queryTableFieldId="26" dataDxfId="51"/>
    <tableColumn id="27" xr3:uid="{BB32B87D-FDAE-472A-AFB1-B912DFDEB020}" uniqueName="27" name="Rate amount" queryTableFieldId="27" dataDxfId="50"/>
    <tableColumn id="28" xr3:uid="{C9FF7F84-D3A9-449A-B1B1-C354D0F9BECE}" uniqueName="28" name="Rate curr" queryTableFieldId="28" dataDxfId="49"/>
    <tableColumn id="29" xr3:uid="{2CB86D68-8611-43FB-B1BF-CD426EEE3FDF}" uniqueName="29" name="Rate qty" queryTableFieldId="29" dataDxfId="48"/>
    <tableColumn id="30" xr3:uid="{784F2CD1-BBD9-41BA-BF3D-36841B98F481}" uniqueName="30" name="Rate qty uom" queryTableFieldId="30" dataDxfId="47"/>
    <tableColumn id="31" xr3:uid="{1EB0C246-638F-41E6-BEC1-897EF3C1172F}" uniqueName="31" name="Spec App" queryTableFieldId="31" dataDxfId="46"/>
    <tableColumn id="32" xr3:uid="{DB714148-A467-4C98-AB2C-6FF3650DD14E}" uniqueName="32" name="Cert Ori" queryTableFieldId="32" dataDxfId="45"/>
    <tableColumn id="33" xr3:uid="{7B26B1C8-A7D1-4504-9BCA-D3C18AB8F117}" uniqueName="33" name="Cty Grp" queryTableFieldId="33" dataDxfId="44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EE6833D-5FBB-4BD7-9D01-7CBB07B9D526}" name="ZZDE" displayName="ZZDE" ref="A5:AU6" tableType="queryTable" insertRow="1" totalsRowShown="0">
  <autoFilter ref="A5:AU6" xr:uid="{8EE6833D-5FBB-4BD7-9D01-7CBB07B9D526}"/>
  <tableColumns count="47">
    <tableColumn id="1" xr3:uid="{F4577C69-6AB4-4B9E-836D-809C79BA3203}" uniqueName="1" name="Cl." queryTableFieldId="108"/>
    <tableColumn id="2" xr3:uid="{C3796C26-B170-46EF-865E-B91BC8559EE8}" uniqueName="2" name="Year" queryTableFieldId="109"/>
    <tableColumn id="3" xr3:uid="{7FC31631-DDA4-41AF-996C-02256C83A8D5}" uniqueName="3" name="Can HS No." queryTableFieldId="110" dataDxfId="43"/>
    <tableColumn id="4" xr3:uid="{41F3381A-17DD-493A-AA36-5A8ED8BA8159}" uniqueName="4" name="MFN %" queryTableFieldId="111"/>
    <tableColumn id="5" xr3:uid="{B87CB329-C938-40E0-8AEB-DE01DC72D340}" uniqueName="5" name="MFN $" queryTableFieldId="112"/>
    <tableColumn id="6" xr3:uid="{D5BB5341-B42E-438D-B2B2-40A777FB6E3C}" uniqueName="6" name="GPT %" queryTableFieldId="113"/>
    <tableColumn id="7" xr3:uid="{862D2468-B96E-4415-B2E6-446064A23394}" uniqueName="7" name="GPT $" queryTableFieldId="114"/>
    <tableColumn id="8" xr3:uid="{EFF8A1B8-1206-498C-B680-9EF13DA1B1BE}" uniqueName="8" name="UST %" queryTableFieldId="115"/>
    <tableColumn id="9" xr3:uid="{01A5F4BC-A165-479D-B519-61E3E0EFEE19}" uniqueName="9" name="UST $" queryTableFieldId="116"/>
    <tableColumn id="10" xr3:uid="{A243DA97-510B-4C7B-8640-1D1ADD01FDC3}" uniqueName="10" name="MEX %" queryTableFieldId="117"/>
    <tableColumn id="11" xr3:uid="{FE9E4742-AB37-4F0C-BA16-119B9E968E97}" uniqueName="11" name="MEX $" queryTableFieldId="118"/>
    <tableColumn id="12" xr3:uid="{256BE5F1-C871-499B-B64A-C52C3346A0FF}" uniqueName="12" name="OTH %" queryTableFieldId="119"/>
    <tableColumn id="13" xr3:uid="{D582E69B-4021-4CA0-AFD7-CA72C2F5C055}" uniqueName="13" name="OTH $" queryTableFieldId="120"/>
    <tableColumn id="16" xr3:uid="{7FC89D74-F01E-4181-83AF-D26F8D42F839}" uniqueName="16" name="OTH2 %" queryTableFieldId="123"/>
    <tableColumn id="17" xr3:uid="{2F2C1D03-A32F-42E1-A50D-FE78EB4BF8BA}" uniqueName="17" name="OTH2 $" queryTableFieldId="124"/>
    <tableColumn id="26" xr3:uid="{44A9BDF1-B14F-4429-A055-068CFAAEC2AC}" uniqueName="26" name="OTH3 %" queryTableFieldId="133"/>
    <tableColumn id="27" xr3:uid="{65964C9A-D8C5-4B2A-A89C-7CD7D8EB4FD1}" uniqueName="27" name="OTH3 $" queryTableFieldId="134"/>
    <tableColumn id="18" xr3:uid="{9378A5AA-10E9-45C0-BE7D-FD83F5DA8CAA}" uniqueName="18" name="2450 %" queryTableFieldId="125"/>
    <tableColumn id="19" xr3:uid="{2C4CCF94-F69D-49CA-A6E7-E97689F1D0FC}" uniqueName="19" name="2450 $" queryTableFieldId="126"/>
    <tableColumn id="20" xr3:uid="{573B1C49-E096-449C-BE71-88DFCF548563}" uniqueName="20" name="2460 %" queryTableFieldId="127"/>
    <tableColumn id="21" xr3:uid="{672926BE-2189-4BC4-9FE6-04311A8CCFB3}" uniqueName="21" name="2460 $" queryTableFieldId="128"/>
    <tableColumn id="22" xr3:uid="{4CDEF418-7E97-4678-869E-2A9BE88BAE32}" uniqueName="22" name="2475 %" queryTableFieldId="129"/>
    <tableColumn id="23" xr3:uid="{9D0DDAB7-0C46-4BC0-A1E2-03A530091CF1}" uniqueName="23" name="2475 $" queryTableFieldId="130"/>
    <tableColumn id="24" xr3:uid="{5C2B5F49-3A25-4E0F-BD24-117EFA12BF4D}" uniqueName="24" name="FREE %" queryTableFieldId="131"/>
    <tableColumn id="25" xr3:uid="{9706A6D1-CD81-4A54-A51F-4F592DD7ABBA}" uniqueName="25" name="FREE $" queryTableFieldId="132"/>
    <tableColumn id="28" xr3:uid="{A70A000C-932D-428B-9F5E-077092EE38F7}" uniqueName="28" name="OTH4 %" queryTableFieldId="135"/>
    <tableColumn id="29" xr3:uid="{6EA10B8F-1629-4635-9023-8A353A1101A6}" uniqueName="29" name="OTH4 $" queryTableFieldId="136"/>
    <tableColumn id="30" xr3:uid="{6353FD47-32BA-4966-A04A-70BA5D7BEC3A}" uniqueName="30" name="OTH5 %" queryTableFieldId="137"/>
    <tableColumn id="31" xr3:uid="{2FCF0D34-DE1D-4B86-82D8-BA6321F701FE}" uniqueName="31" name="OTH5 $" queryTableFieldId="138"/>
    <tableColumn id="32" xr3:uid="{D64D1804-9A23-4B50-AEFB-53CE5DF41A20}" uniqueName="32" name="OTH6 %" queryTableFieldId="139"/>
    <tableColumn id="33" xr3:uid="{D555BBE9-2063-424B-8E1B-4009E73387B1}" uniqueName="33" name="OTH6 $" queryTableFieldId="140"/>
    <tableColumn id="34" xr3:uid="{29F607ED-FE4D-42B5-B53E-5739AB2CCA93}" uniqueName="34" name="OTH7 %" queryTableFieldId="141"/>
    <tableColumn id="35" xr3:uid="{4D2813DD-5113-4590-B745-4E5A686C9366}" uniqueName="35" name="OTH7 $" queryTableFieldId="142"/>
    <tableColumn id="14" xr3:uid="{AE061B34-B074-4D4D-873F-C5AE3642655C}" uniqueName="14" name="OTH8 %" queryTableFieldId="155"/>
    <tableColumn id="15" xr3:uid="{75354515-7156-4A98-BFFE-32ADDB3B10C2}" uniqueName="15" name="OTH8 $" queryTableFieldId="156"/>
    <tableColumn id="36" xr3:uid="{CBDC7C88-6AE6-461C-A569-5B83F1C28ED1}" uniqueName="36" name="UOM %" queryTableFieldId="143" dataDxfId="42"/>
    <tableColumn id="37" xr3:uid="{1641474A-DC82-470F-A7A5-2D8CB4E73BD5}" uniqueName="37" name="UOM $" queryTableFieldId="144" dataDxfId="41"/>
    <tableColumn id="38" xr3:uid="{2260CF07-02AB-4498-AB81-289664DA59BD}" uniqueName="38" name="STAT UOM" queryTableFieldId="145"/>
    <tableColumn id="39" xr3:uid="{CC8EE703-A360-45E6-B4AD-E2323EFF224D}" uniqueName="39" name="STAT1 UOM" queryTableFieldId="146" dataDxfId="40"/>
    <tableColumn id="40" xr3:uid="{ECDDCAE4-15AB-4E9B-BEF5-226AC9090F04}" uniqueName="40" name="STAT1 QTY" queryTableFieldId="147"/>
    <tableColumn id="41" xr3:uid="{0B638652-4D0E-45D6-89CE-92E8644D0F6B}" uniqueName="41" name="STAT2 UOM" queryTableFieldId="148" dataDxfId="39"/>
    <tableColumn id="42" xr3:uid="{D83C553E-FDE0-440C-84E8-8906AA3A902E}" uniqueName="42" name="STAT2 QTY" queryTableFieldId="149"/>
    <tableColumn id="43" xr3:uid="{052E87B8-130E-40AE-B7C6-37FF68E6E18D}" uniqueName="43" name="Mex-US %" queryTableFieldId="150"/>
    <tableColumn id="44" xr3:uid="{4B655447-DB36-403B-89E4-6F4DA51F42A0}" uniqueName="44" name="Mex-US $" queryTableFieldId="151"/>
    <tableColumn id="45" xr3:uid="{3B34A718-5DCA-4535-86C8-72F00317C193}" uniqueName="45" name="Rest Cd" queryTableFieldId="152" dataDxfId="38"/>
    <tableColumn id="46" xr3:uid="{A64F73C1-F4AB-401C-B4AD-AD755493EA8B}" uniqueName="46" name="Date from" queryTableFieldId="153" dataDxfId="37"/>
    <tableColumn id="47" xr3:uid="{D436EC9A-CED7-483C-A111-1C686B57F298}" uniqueName="47" name="Date to" queryTableFieldId="154" dataDxfId="3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7B34F-7273-4CE5-A720-3E7F46F2EACF}" name="ZZDF" displayName="ZZDF" ref="A5:Z6" tableType="queryTable" insertRow="1" totalsRowShown="0">
  <autoFilter ref="A5:Z6" xr:uid="{3737B34F-7273-4CE5-A720-3E7F46F2EACF}"/>
  <tableColumns count="26">
    <tableColumn id="1" xr3:uid="{8237FC74-482E-4359-8162-1327272ABC17}" uniqueName="1" name="Cl." queryTableFieldId="129"/>
    <tableColumn id="2" xr3:uid="{55480E8D-A1D3-47FF-BDEA-445B128AF95E}" uniqueName="2" name="Year" queryTableFieldId="130"/>
    <tableColumn id="3" xr3:uid="{B464490B-DE7B-489E-A10C-7F3868E6FD97}" uniqueName="3" name="US HS No." queryTableFieldId="131" dataDxfId="35"/>
    <tableColumn id="4" xr3:uid="{B384BC98-F93D-4E5D-9A2E-B4E4F2743009}" uniqueName="4" name="GEN %" queryTableFieldId="132"/>
    <tableColumn id="5" xr3:uid="{375E048E-5785-413B-A337-569530B2DDA2}" uniqueName="5" name="GEN $" queryTableFieldId="133"/>
    <tableColumn id="6" xr3:uid="{2D3F377D-E5C7-4126-BA1F-B26B31BBE380}" uniqueName="6" name="CAN %" queryTableFieldId="134"/>
    <tableColumn id="7" xr3:uid="{47A7E4A4-B82B-4D1C-BEE9-B1F207F20659}" uniqueName="7" name="CAN $" queryTableFieldId="135"/>
    <tableColumn id="8" xr3:uid="{D83DC688-CA28-41AB-BB1C-FCAF4F3A0301}" uniqueName="8" name="MEX %" queryTableFieldId="136"/>
    <tableColumn id="9" xr3:uid="{92BCA4BC-0BC1-4305-84AC-84F9F823A629}" uniqueName="9" name="MEX $" queryTableFieldId="137"/>
    <tableColumn id="10" xr3:uid="{E2F74C67-A286-4225-A1F9-62B9FE25EF3B}" uniqueName="10" name="UMX %" queryTableFieldId="138"/>
    <tableColumn id="11" xr3:uid="{A0579AE2-EA0F-4FCD-9E73-15035334124D}" uniqueName="11" name="UMX $" queryTableFieldId="139"/>
    <tableColumn id="12" xr3:uid="{38B63C7E-358D-4155-9EDB-0EE7718C2284}" uniqueName="12" name="OTH %" queryTableFieldId="140"/>
    <tableColumn id="13" xr3:uid="{AD5019D5-C346-462A-8ED1-58367647FC67}" uniqueName="13" name="OTH $" queryTableFieldId="141"/>
    <tableColumn id="14" xr3:uid="{F008F0CD-7D3C-4423-B39D-62FDF0EEDFD3}" uniqueName="14" name="OTH1 %" queryTableFieldId="142"/>
    <tableColumn id="15" xr3:uid="{6B4576AB-8D76-4E5F-A660-61471E2D6125}" uniqueName="15" name="OTH1 $" queryTableFieldId="143"/>
    <tableColumn id="16" xr3:uid="{E7F6FDDA-85E5-4F81-8F1B-4107A228B20E}" uniqueName="16" name="OTH2 %" queryTableFieldId="144"/>
    <tableColumn id="17" xr3:uid="{2D2977FB-F5D0-455E-9326-2A049149FAFE}" uniqueName="17" name="OTH2 $" queryTableFieldId="145"/>
    <tableColumn id="18" xr3:uid="{F574B2C5-A1A5-49DA-8A6D-1DCEF8842820}" uniqueName="18" name="OTH3 %" queryTableFieldId="146"/>
    <tableColumn id="19" xr3:uid="{E9F0F93B-9CCD-4ECE-AB32-982F18323515}" uniqueName="19" name="OTH3 $" queryTableFieldId="147"/>
    <tableColumn id="20" xr3:uid="{3DA90B9C-D11A-4331-959B-F8D0F8D14F67}" uniqueName="20" name="UOM %" queryTableFieldId="148" dataDxfId="34"/>
    <tableColumn id="21" xr3:uid="{E628E150-87C0-46B9-A03D-8E42F1506239}" uniqueName="21" name="UOM $" queryTableFieldId="149" dataDxfId="33"/>
    <tableColumn id="22" xr3:uid="{449201B2-5C20-4CB0-97A2-5DCE9C6DD69E}" uniqueName="22" name="STAT UOM" queryTableFieldId="150"/>
    <tableColumn id="23" xr3:uid="{C7D5FE39-1F96-4207-9CC4-AB7A589D1432}" uniqueName="23" name="STAT QTY" queryTableFieldId="151"/>
    <tableColumn id="24" xr3:uid="{52F887C5-B513-4A20-A389-C835339BB6D7}" uniqueName="24" name="STAT2 UOM" queryTableFieldId="152"/>
    <tableColumn id="25" xr3:uid="{C8F724D9-1070-472D-884C-AB0EFDEBC3BA}" uniqueName="25" name="STAT2 QTY" queryTableFieldId="153"/>
    <tableColumn id="26" xr3:uid="{745368C9-0154-4434-A8C8-E48828408C87}" uniqueName="26" name="Restr" queryTableFieldId="154" dataDxfId="3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1AA42EB-BB71-4A91-9322-C91516F99261}" name="ZD14Test" displayName="ZD14Test" ref="A5:AG6" insertRow="1" totalsRowShown="0">
  <autoFilter ref="A5:AG6" xr:uid="{A1AA42EB-BB71-4A91-9322-C91516F99261}"/>
  <tableColumns count="33">
    <tableColumn id="1" xr3:uid="{9E2653EE-457C-43F7-9472-3E2A36ACC281}" name="Country"/>
    <tableColumn id="2" xr3:uid="{FFF1E6AF-06A8-492F-993B-962D7D64F614}" name="HS Number"/>
    <tableColumn id="3" xr3:uid="{072B8585-9239-4781-A985-1A1477CD4A78}" name="Date from"/>
    <tableColumn id="4" xr3:uid="{A62CCA8A-8EAA-461A-82D4-BDDC558B1485}" name="Date to"/>
    <tableColumn id="5" xr3:uid="{34527EF9-9325-420E-9809-8E677D8FCE0E}" name="Lang 1"/>
    <tableColumn id="6" xr3:uid="{74DE8390-038C-473C-AE0E-985782C71176}" name="Desc 1"/>
    <tableColumn id="7" xr3:uid="{A647349A-CC3B-4200-B638-55B92C70C0C5}" name="Desc 2"/>
    <tableColumn id="8" xr3:uid="{A32E082B-AB1E-4067-B061-726454C34435}" name="Desc 3"/>
    <tableColumn id="9" xr3:uid="{A8D1F0F0-ADBE-4B0E-B4BF-A0E70ABB15AD}" name="Desc 4"/>
    <tableColumn id="10" xr3:uid="{F8EE2EA8-CA87-46B4-81D7-CDE7CFAB88DE}" name="Desc 5"/>
    <tableColumn id="11" xr3:uid="{CF0283E5-77A2-4C12-B043-B18B33D941F0}" name="Desc 6"/>
    <tableColumn id="12" xr3:uid="{A34D1737-09F0-4965-821E-57B59E5038B9}" name="Desc 7"/>
    <tableColumn id="13" xr3:uid="{158719F0-7F34-4E10-8055-240B00470E41}" name="Lang 2"/>
    <tableColumn id="14" xr3:uid="{6773CA48-D137-44EF-B1FA-7C2BBBBCB3E6}" name="Desc 21"/>
    <tableColumn id="15" xr3:uid="{139D668E-51DA-4474-A79B-2889A4CB4268}" name="Desc 22"/>
    <tableColumn id="16" xr3:uid="{FF45F906-4E87-4E62-AD57-3858399A1BAF}" name="Desc 23"/>
    <tableColumn id="17" xr3:uid="{C3AFDFA1-69E0-42F7-AD13-AAD7A524AF76}" name="Desc 24"/>
    <tableColumn id="18" xr3:uid="{F3DB4420-C401-49C8-A78C-43327B3FAFAC}" name="Desc 25"/>
    <tableColumn id="19" xr3:uid="{1993F1D1-C0A1-4CF1-92A7-0C9E43A2D157}" name="Desc 26"/>
    <tableColumn id="20" xr3:uid="{AB613A49-7E04-4FFA-A31C-29EEC60904DA}" name="Desc 27"/>
    <tableColumn id="21" xr3:uid="{BA2B35DC-85E7-43AE-BA4B-9BCB178D6AA3}" name="Unit of measure"/>
    <tableColumn id="22" xr3:uid="{C2ED4FD2-11E9-4DE1-B0EC-5C1DB7885221}" name="Restriction code"/>
    <tableColumn id="23" xr3:uid="{A773297F-2195-410D-BB71-35904D507E1C}" name="Rate type"/>
    <tableColumn id="24" xr3:uid="{62FC9984-F86C-4FD5-BD4E-3E2FAECD7AF4}" name="Champ24"/>
    <tableColumn id="25" xr3:uid="{16FBDAB0-0580-4945-94BB-8756C6DE724E}" name="Champ25"/>
    <tableColumn id="26" xr3:uid="{5D8C1FCC-0EFE-4CFC-98D4-8C8D75C79728}" name="Base rate %"/>
    <tableColumn id="27" xr3:uid="{19F000F0-70D6-4AB6-B759-6779621753CF}" name="Rate amount"/>
    <tableColumn id="28" xr3:uid="{C11CB387-2321-485A-9A6C-049AEACA6BC3}" name="Rate curr"/>
    <tableColumn id="29" xr3:uid="{5355EB69-062A-46AD-836F-37E30458CA8B}" name="Rate qty"/>
    <tableColumn id="30" xr3:uid="{9F749BF6-E8B4-4450-9F30-BA853594B3E5}" name="Rate qty uom"/>
    <tableColumn id="31" xr3:uid="{B420ABE0-B9DB-477A-81D1-5AD1644EB667}" name="Spec App"/>
    <tableColumn id="32" xr3:uid="{C896978D-9E24-4553-B225-9C3BEDD06EC6}" name="Cert Ori"/>
    <tableColumn id="33" xr3:uid="{C35C586F-82FC-4A4E-9025-4540DF7A7E68}" name="Cty Grp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21" Type="http://schemas.openxmlformats.org/officeDocument/2006/relationships/table" Target="../tables/table23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table" Target="../tables/table4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Relationship Id="rId4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42221-1865-4AC7-ABEA-E1C37A4A8DFB}">
  <sheetPr codeName="shtMenu"/>
  <dimension ref="B2:L19"/>
  <sheetViews>
    <sheetView showGridLines="0" tabSelected="1" zoomScaleNormal="100" workbookViewId="0">
      <selection activeCell="E13" sqref="E13"/>
    </sheetView>
  </sheetViews>
  <sheetFormatPr defaultColWidth="10.6640625" defaultRowHeight="14.4" x14ac:dyDescent="0.3"/>
  <cols>
    <col min="1" max="1" width="4.33203125" customWidth="1"/>
    <col min="2" max="2" width="11.44140625" customWidth="1"/>
    <col min="3" max="3" width="15.6640625" bestFit="1" customWidth="1"/>
    <col min="4" max="4" width="5.6640625" customWidth="1"/>
    <col min="5" max="5" width="18.6640625" bestFit="1" customWidth="1"/>
    <col min="6" max="6" width="17.5546875" bestFit="1" customWidth="1"/>
    <col min="7" max="7" width="5.6640625" customWidth="1"/>
    <col min="8" max="8" width="39.33203125" bestFit="1" customWidth="1"/>
    <col min="9" max="9" width="5.6640625" customWidth="1"/>
    <col min="10" max="10" width="40.44140625" bestFit="1" customWidth="1"/>
    <col min="11" max="11" width="5.6640625" customWidth="1"/>
    <col min="12" max="12" width="38.33203125" bestFit="1" customWidth="1"/>
  </cols>
  <sheetData>
    <row r="2" spans="2:12" x14ac:dyDescent="0.3">
      <c r="H2" t="s">
        <v>489</v>
      </c>
      <c r="J2" t="s">
        <v>490</v>
      </c>
      <c r="L2" t="s">
        <v>491</v>
      </c>
    </row>
    <row r="4" spans="2:12" x14ac:dyDescent="0.3">
      <c r="B4" t="s">
        <v>108</v>
      </c>
      <c r="C4" s="5"/>
      <c r="H4">
        <f>SUBTOTAL(103,TableFileListDTR[DTR File List])</f>
        <v>0</v>
      </c>
      <c r="J4">
        <f>SUBTOTAL(103,TableFileListNOM[NOM File List])</f>
        <v>0</v>
      </c>
      <c r="L4">
        <f>SUBTOTAL(103,TableFileListTXT[TXT File List])</f>
        <v>0</v>
      </c>
    </row>
    <row r="5" spans="2:12" x14ac:dyDescent="0.3">
      <c r="E5" s="25" t="s">
        <v>107</v>
      </c>
      <c r="F5" s="25"/>
    </row>
    <row r="6" spans="2:12" x14ac:dyDescent="0.3">
      <c r="E6" s="4" t="s">
        <v>72</v>
      </c>
      <c r="F6" s="3" t="s">
        <v>357</v>
      </c>
    </row>
    <row r="7" spans="2:12" x14ac:dyDescent="0.3">
      <c r="B7" t="s">
        <v>108</v>
      </c>
      <c r="C7" s="5"/>
      <c r="E7" s="4" t="s">
        <v>398</v>
      </c>
      <c r="F7" s="3" t="str">
        <f>IF(Country="AU",auMainCG,IF(Country="BR",brMainCG,IF(Country="CA",caMainCG,IF(Country="EU",euMainCG,IF(Country="MX",mxMainCG,IF(Country="NZ",nzMainCG,IF(Country="RU",ruMainCG,IF(Country="US",usMainCG,IF(Country="VN",vnMainCG,"No Data")))))))))</f>
        <v>_DNZ1</v>
      </c>
      <c r="G7" s="16" t="str">
        <f>IF(COUNTIF(MainCG,"*main country group"),"&lt;-- ERROR: WRONG CONFIGURATION","")</f>
        <v/>
      </c>
    </row>
    <row r="8" spans="2:12" x14ac:dyDescent="0.3">
      <c r="E8" s="4" t="s">
        <v>86</v>
      </c>
      <c r="F8" s="3">
        <v>2025</v>
      </c>
    </row>
    <row r="9" spans="2:12" x14ac:dyDescent="0.3">
      <c r="E9" s="4" t="s">
        <v>366</v>
      </c>
      <c r="F9" s="3">
        <v>25</v>
      </c>
    </row>
    <row r="10" spans="2:12" x14ac:dyDescent="0.3">
      <c r="B10" t="s">
        <v>108</v>
      </c>
      <c r="C10" s="5"/>
      <c r="E10" s="4" t="s">
        <v>369</v>
      </c>
      <c r="F10" s="3">
        <v>100000</v>
      </c>
    </row>
    <row r="11" spans="2:12" x14ac:dyDescent="0.3">
      <c r="E11" s="4" t="s">
        <v>488</v>
      </c>
      <c r="F11" s="20">
        <v>1</v>
      </c>
    </row>
    <row r="13" spans="2:12" x14ac:dyDescent="0.3">
      <c r="B13" t="s">
        <v>108</v>
      </c>
      <c r="C13" s="5"/>
      <c r="E13" t="s">
        <v>487</v>
      </c>
    </row>
    <row r="14" spans="2:12" x14ac:dyDescent="0.3">
      <c r="E14" s="19" t="str">
        <f>IF(COUNT(_xlfn.UNIQUE(TableDTR[version_number]))&gt;1,"ERROR: MORE THAN 1 VERSION NUMBER IMPORTED IN DTR","DTR OK")</f>
        <v>DTR OK</v>
      </c>
    </row>
    <row r="15" spans="2:12" x14ac:dyDescent="0.3">
      <c r="E15" s="19" t="str">
        <f>IF(COUNT(_xlfn.UNIQUE(TableNOM[version_number]))&gt;1,"ERROR: MORE THAN 1 VERSION NUMBER IMPORTED IN NOM","NOM OK")</f>
        <v>NOM OK</v>
      </c>
    </row>
    <row r="16" spans="2:12" x14ac:dyDescent="0.3">
      <c r="B16" t="s">
        <v>108</v>
      </c>
      <c r="C16" s="5"/>
    </row>
    <row r="19" spans="2:3" x14ac:dyDescent="0.3">
      <c r="B19" t="s">
        <v>108</v>
      </c>
      <c r="C19" s="5"/>
    </row>
  </sheetData>
  <dataConsolidate/>
  <mergeCells count="1">
    <mergeCell ref="E5:F5"/>
  </mergeCells>
  <conditionalFormatting sqref="E15">
    <cfRule type="expression" dxfId="31" priority="2">
      <formula>IF(_xlfn.IFNA(MATCH("*OK",ErrorNOM,0),FALSE),FALSE,TRUE)</formula>
    </cfRule>
  </conditionalFormatting>
  <conditionalFormatting sqref="E14">
    <cfRule type="expression" dxfId="30" priority="1">
      <formula>IF(_xlfn.IFNA(MATCH("*OK",ErrorDTR,0),FALSE),FALSE,TRUE)</formula>
    </cfRule>
  </conditionalFormatting>
  <dataValidations xWindow="500" yWindow="435" count="5">
    <dataValidation type="whole" showInputMessage="1" showErrorMessage="1" errorTitle="Wrong Year Value" error="You must enter a year value between 1900 and 9999." promptTitle="Year" prompt="Enter the year in YYYY format" sqref="F8" xr:uid="{1D4DA07D-55B5-428E-AA32-0AABF4C3093E}">
      <formula1>1900</formula1>
      <formula2>9999</formula2>
    </dataValidation>
    <dataValidation type="list" allowBlank="1" showInputMessage="1" showErrorMessage="1" errorTitle="Wrong Country Value" error="You must select a country from the dropdown list." promptTitle="Country" prompt="Select a country from the drop down list." sqref="F6" xr:uid="{5875F735-F8DA-4C95-AB71-290E80B7E01C}">
      <formula1>"AU, BR, CA, EU, MX, NZ, RU, US, VN,"</formula1>
    </dataValidation>
    <dataValidation type="whole" showInputMessage="1" showErrorMessage="1" errorTitle="Wrong Chapter Value" error="You must enter a chapter value between 1 and 99." promptTitle="Minimum chapter number" prompt="Select the minimum chapter number to process. Lower chapter entries will be removed" sqref="F9" xr:uid="{9A7A2ADA-4224-4A9B-A3B9-10E6748B6588}">
      <formula1>1</formula1>
      <formula2>99</formula2>
    </dataValidation>
    <dataValidation type="whole" showInputMessage="1" showErrorMessage="1" errorTitle="Wrong Number Value" error="You must enter a number value between 1 and 1000000." promptTitle="Maximum CSV line count" prompt="Select the maximum number of lines to export in a single CSV file." sqref="F10" xr:uid="{13D37441-9CAE-4536-83E6-97CFEBBB6455}">
      <formula1>1</formula1>
      <formula2>1000000</formula2>
    </dataValidation>
    <dataValidation type="date" showInputMessage="1" showErrorMessage="1" errorTitle="Wrong Date Value" error="You must enter a date between 1900-01-01 and 9999-12-31." promptTitle="ZD14 Date From" prompt="Select the date from which you want to generate the ZD14 table with." sqref="F11" xr:uid="{832A5397-5FF4-4AC4-95D4-1776DF3770A8}">
      <formula1>1</formula1>
      <formula2>2958465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ImportXMLDTR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3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DataCleansingDTR">
                <anchor moveWithCells="1" sizeWithCells="1">
                  <from>
                    <xdr:col>1</xdr:col>
                    <xdr:colOff>22860</xdr:colOff>
                    <xdr:row>4</xdr:row>
                    <xdr:rowOff>22860</xdr:rowOff>
                  </from>
                  <to>
                    <xdr:col>3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Button 10">
              <controlPr defaultSize="0" print="0" autoFill="0" autoPict="0" macro="[0]!ImportXmlNOM">
                <anchor moveWithCells="1" sizeWithCells="1">
                  <from>
                    <xdr:col>1</xdr:col>
                    <xdr:colOff>22860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7" name="Button 13">
              <controlPr defaultSize="0" print="0" autoFill="0" autoPict="0" macro="[0]!GenerateOutpu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3</xdr:col>
                    <xdr:colOff>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8" name="Button 19">
              <controlPr defaultSize="0" print="0" autoFill="0" autoPict="0" macro="[0]!ClearAll">
                <anchor moveWithCells="1" sizeWithCells="1">
                  <from>
                    <xdr:col>13</xdr:col>
                    <xdr:colOff>22860</xdr:colOff>
                    <xdr:row>1</xdr:row>
                    <xdr:rowOff>22860</xdr:rowOff>
                  </from>
                  <to>
                    <xdr:col>15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9" name="Button 20">
              <controlPr defaultSize="0" print="0" autoFill="0" autoPict="0" macro="[0]!ExecuteAll">
                <anchor moveWithCells="1" sizeWithCells="1">
                  <from>
                    <xdr:col>4</xdr:col>
                    <xdr:colOff>22860</xdr:colOff>
                    <xdr:row>1</xdr:row>
                    <xdr:rowOff>22860</xdr:rowOff>
                  </from>
                  <to>
                    <xdr:col>6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0" name="Button 23">
              <controlPr defaultSize="0" print="0" autoFill="0" autoPict="0" macro="[0]!DataCleansingNOM">
                <anchor moveWithCells="1" sizeWithCells="1">
                  <from>
                    <xdr:col>1</xdr:col>
                    <xdr:colOff>22860</xdr:colOff>
                    <xdr:row>10</xdr:row>
                    <xdr:rowOff>22860</xdr:rowOff>
                  </from>
                  <to>
                    <xdr:col>3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1" name="Button 25">
              <controlPr defaultSize="0" print="0" autoFill="0" autoPict="0" macro="[0]!ImportXMLTXT">
                <anchor moveWithCells="1" sizeWithCells="1">
                  <from>
                    <xdr:col>1</xdr:col>
                    <xdr:colOff>22860</xdr:colOff>
                    <xdr:row>13</xdr:row>
                    <xdr:rowOff>22860</xdr:rowOff>
                  </from>
                  <to>
                    <xdr:col>3</xdr:col>
                    <xdr:colOff>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3"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07E3-EB80-4624-9279-607AEFAEA936}">
  <sheetPr codeName="shtConfig"/>
  <dimension ref="A2:AL276"/>
  <sheetViews>
    <sheetView showGridLines="0" topLeftCell="P10" workbookViewId="0">
      <selection activeCell="U7" sqref="U7:W26"/>
    </sheetView>
  </sheetViews>
  <sheetFormatPr defaultColWidth="10.6640625" defaultRowHeight="15" customHeight="1" x14ac:dyDescent="0.3"/>
  <cols>
    <col min="1" max="1" width="16.6640625" customWidth="1"/>
    <col min="2" max="3" width="15.6640625" customWidth="1"/>
    <col min="4" max="4" width="5.6640625" customWidth="1"/>
    <col min="5" max="5" width="16.6640625" customWidth="1"/>
    <col min="6" max="7" width="15.6640625" customWidth="1"/>
    <col min="8" max="8" width="5.6640625" customWidth="1"/>
    <col min="9" max="9" width="16.6640625" customWidth="1"/>
    <col min="10" max="11" width="15.6640625" customWidth="1"/>
    <col min="12" max="12" width="5.6640625" customWidth="1"/>
    <col min="13" max="13" width="16.6640625" customWidth="1"/>
    <col min="14" max="15" width="15.6640625" customWidth="1"/>
    <col min="16" max="16" width="5.6640625" customWidth="1"/>
    <col min="17" max="17" width="16.6640625" customWidth="1"/>
    <col min="18" max="19" width="15.6640625" customWidth="1"/>
    <col min="20" max="20" width="5.6640625" customWidth="1"/>
    <col min="21" max="21" width="16.6640625" customWidth="1"/>
    <col min="22" max="23" width="15.6640625" customWidth="1"/>
    <col min="24" max="24" width="5.6640625" customWidth="1"/>
    <col min="25" max="25" width="16.6640625" customWidth="1"/>
    <col min="26" max="27" width="15.6640625" customWidth="1"/>
    <col min="28" max="28" width="5.6640625" customWidth="1"/>
    <col min="29" max="29" width="16.6640625" customWidth="1"/>
    <col min="30" max="31" width="15.6640625" customWidth="1"/>
    <col min="33" max="33" width="14.6640625" customWidth="1"/>
    <col min="34" max="34" width="11.88671875" customWidth="1"/>
    <col min="35" max="35" width="39" customWidth="1"/>
    <col min="38" max="38" width="30.33203125" customWidth="1"/>
  </cols>
  <sheetData>
    <row r="2" spans="1:38" ht="15" customHeight="1" x14ac:dyDescent="0.3">
      <c r="A2" s="6" t="s">
        <v>163</v>
      </c>
      <c r="B2" s="28" t="s">
        <v>162</v>
      </c>
      <c r="C2" s="28"/>
      <c r="E2" s="6" t="s">
        <v>163</v>
      </c>
      <c r="F2" s="28" t="s">
        <v>162</v>
      </c>
      <c r="G2" s="28"/>
      <c r="I2" s="6" t="s">
        <v>163</v>
      </c>
      <c r="J2" s="28" t="s">
        <v>162</v>
      </c>
      <c r="K2" s="28"/>
      <c r="M2" s="6" t="s">
        <v>163</v>
      </c>
      <c r="N2" s="28" t="s">
        <v>162</v>
      </c>
      <c r="O2" s="28"/>
      <c r="Q2" s="6" t="s">
        <v>163</v>
      </c>
      <c r="R2" s="28" t="s">
        <v>162</v>
      </c>
      <c r="S2" s="28"/>
      <c r="U2" s="6" t="s">
        <v>163</v>
      </c>
      <c r="V2" s="28" t="s">
        <v>162</v>
      </c>
      <c r="W2" s="28"/>
      <c r="Y2" s="6" t="s">
        <v>163</v>
      </c>
      <c r="Z2" s="28" t="s">
        <v>162</v>
      </c>
      <c r="AA2" s="28"/>
      <c r="AC2" s="6" t="s">
        <v>163</v>
      </c>
      <c r="AD2" s="28" t="s">
        <v>162</v>
      </c>
      <c r="AE2" s="28"/>
      <c r="AG2" s="6" t="s">
        <v>163</v>
      </c>
      <c r="AH2" s="28" t="s">
        <v>162</v>
      </c>
      <c r="AI2" s="28"/>
      <c r="AK2" s="21" t="s">
        <v>865</v>
      </c>
      <c r="AL2" s="21" t="s">
        <v>866</v>
      </c>
    </row>
    <row r="3" spans="1:38" ht="15" customHeight="1" x14ac:dyDescent="0.3">
      <c r="A3" s="7" t="s">
        <v>365</v>
      </c>
      <c r="B3" s="26" t="s">
        <v>351</v>
      </c>
      <c r="C3" s="26"/>
      <c r="E3" s="7" t="s">
        <v>358</v>
      </c>
      <c r="F3" s="26" t="s">
        <v>352</v>
      </c>
      <c r="G3" s="26"/>
      <c r="I3" s="7" t="s">
        <v>359</v>
      </c>
      <c r="J3" s="26" t="s">
        <v>353</v>
      </c>
      <c r="K3" s="26"/>
      <c r="M3" s="7" t="s">
        <v>360</v>
      </c>
      <c r="N3" s="26" t="s">
        <v>354</v>
      </c>
      <c r="O3" s="26"/>
      <c r="Q3" s="7" t="s">
        <v>361</v>
      </c>
      <c r="R3" s="26" t="s">
        <v>355</v>
      </c>
      <c r="S3" s="26"/>
      <c r="U3" s="7" t="s">
        <v>362</v>
      </c>
      <c r="V3" s="26" t="s">
        <v>357</v>
      </c>
      <c r="W3" s="26"/>
      <c r="Y3" s="7" t="s">
        <v>363</v>
      </c>
      <c r="Z3" s="26" t="s">
        <v>356</v>
      </c>
      <c r="AA3" s="26"/>
      <c r="AC3" s="7" t="s">
        <v>364</v>
      </c>
      <c r="AD3" s="26" t="s">
        <v>70</v>
      </c>
      <c r="AE3" s="26"/>
      <c r="AG3" s="7" t="s">
        <v>915</v>
      </c>
      <c r="AH3" s="26" t="s">
        <v>916</v>
      </c>
      <c r="AI3" s="26"/>
      <c r="AK3" t="s">
        <v>867</v>
      </c>
      <c r="AL3" t="s">
        <v>868</v>
      </c>
    </row>
    <row r="4" spans="1:38" ht="15" customHeight="1" x14ac:dyDescent="0.3">
      <c r="A4" s="17" t="s">
        <v>403</v>
      </c>
      <c r="B4" s="26" t="str" cm="1">
        <f t="array" ref="B4">IFERROR(IF(SUM(--(LEN(_xlfn.UNIQUE(_xlfn._xlws.FILTER(LEFT(auRateType[Descartes CG], (FIND(" ", auRateType[Descartes CG], 1)-1)),auRateType[Comment]="3rd")))&gt;0))&gt;1,"Multiple 3rd country group",LEFT(INDEX(auRateType[],MATCH("3rd",auRateType[Comment],0),1), FIND(" ",INDEX(auRateType[],MATCH("3rd",auRateType[Comment],0),1)) )),"Missing 3rd country group")</f>
        <v xml:space="preserve">_DAU1 </v>
      </c>
      <c r="C4" s="26"/>
      <c r="E4" s="17" t="s">
        <v>404</v>
      </c>
      <c r="F4" s="26" t="str" cm="1">
        <f t="array" ref="F4">IFERROR(IF(SUM(--(LEN(_xlfn.UNIQUE(_xlfn._xlws.FILTER(LEFT(brRateType[Descartes CG], (FIND(" ", brRateType[Descartes CG], 1)-1)),brRateType[Comment]="3rd")))&gt;0))&gt;1,"Multiple 3rd country group",LEFT(INDEX(brRateType[],MATCH("3rd",brRateType[Comment],0),1), FIND(" ",INDEX(brRateType[],MATCH("3rd",brRateType[Comment],0),1))-1 )),"Missing 3rd country group")</f>
        <v>_DBR1</v>
      </c>
      <c r="G4" s="26"/>
      <c r="I4" s="17" t="s">
        <v>405</v>
      </c>
      <c r="J4" s="26" t="str" cm="1">
        <f t="array" ref="J4">IFERROR(IF(SUM(--(LEN(_xlfn.UNIQUE(_xlfn._xlws.FILTER(LEFT(caRateType[Descartes CG], (FIND(" ", caRateType[Descartes CG], 1)-1)),caRateType[Comment]="3rd")))&gt;0))&gt;1,"Multiple 3rd country group",LEFT(INDEX(caRateType[],MATCH("3rd",caRateType[Comment],0),1), FIND(" ",INDEX(caRateType[],MATCH("3rd",caRateType[Comment],0),1))-1 )),"Missing 3rd country group")</f>
        <v>_DCA1</v>
      </c>
      <c r="K4" s="26"/>
      <c r="M4" s="17" t="s">
        <v>402</v>
      </c>
      <c r="N4" s="26" t="str" cm="1">
        <f t="array" ref="N4">IFERROR(IF(SUM(--(LEN(_xlfn.UNIQUE(_xlfn._xlws.FILTER(LEFT(euRateType[Descartes CG], (FIND(" ", euRateType[Descartes CG], 1)-1)),euRateType[Comment]="3rd")))&gt;0))&gt;1,"Multiple 3rd country group",LEFT(INDEX(euRateType[],MATCH("3rd",euRateType[Comment],0),1), FIND(" ",INDEX(euRateType[],MATCH("3rd",euRateType[Comment],0),1))-1 )),"Missing 3rd country group")</f>
        <v>_DTOUT</v>
      </c>
      <c r="O4" s="26"/>
      <c r="Q4" s="17" t="s">
        <v>401</v>
      </c>
      <c r="R4" s="26" t="str" cm="1">
        <f t="array" ref="R4">IFERROR(IF(SUM(--(LEN(_xlfn.UNIQUE(_xlfn._xlws.FILTER(LEFT(mxRateType[Descartes CG], (FIND(" ", mxRateType[Descartes CG], 1)-1)),mxRateType[Comment]="3rd")))&gt;0))&gt;1,"Multiple 3rd country group",LEFT(INDEX(mxRateType[],MATCH("3rd",mxRateType[Comment],0),1), FIND(" ",INDEX(mxRateType[],MATCH("3rd",mxRateType[Comment],0),1))-1 )),"Missing 3rd country group")</f>
        <v>_DMX11</v>
      </c>
      <c r="S4" s="26"/>
      <c r="U4" s="17" t="s">
        <v>399</v>
      </c>
      <c r="V4" s="26" t="str" cm="1">
        <f t="array" ref="V4">IFERROR(IF(SUM(--(LEN(_xlfn.UNIQUE(_xlfn._xlws.FILTER(LEFT(nzRateType[Descartes CG], (FIND(" ", nzRateType[Descartes CG], 1)-1)),nzRateType[Comment]="3rd")))&gt;0))&gt;1,"Multiple 3rd country group",LEFT(INDEX(nzRateType[],MATCH("3rd",nzRateType[Comment],0),1), FIND(" ",INDEX(nzRateType[],MATCH("3rd",nzRateType[Comment],0),1))-1 )),"Missing 3rd country group")</f>
        <v>_DNZ1</v>
      </c>
      <c r="W4" s="26"/>
      <c r="Y4" s="17" t="s">
        <v>400</v>
      </c>
      <c r="Z4" s="26" t="str" cm="1">
        <f t="array" ref="Z4">IFERROR(IF(SUM(--(LEN(_xlfn.UNIQUE(_xlfn._xlws.FILTER(LEFT(ruRateType[Descartes CG], (FIND(" ", ruRateType[Descartes CG], 1)-1)),ruRateType[Comment]="3rd")))&gt;0))&gt;1,"Multiple 3rd country group",LEFT(INDEX(ruRateType[],MATCH("3rd",ruRateType[Comment],0),1), FIND(" ",INDEX(ruRateType[],MATCH("3rd",ruRateType[Comment],0),1))-1 )),"Missing 3rd country group")</f>
        <v>_DRU5</v>
      </c>
      <c r="AA4" s="26"/>
      <c r="AC4" s="17" t="s">
        <v>397</v>
      </c>
      <c r="AD4" s="27" t="str" cm="1">
        <f t="array" ref="AD4">IFERROR(IF(SUM(--(LEN(_xlfn.UNIQUE(_xlfn._xlws.FILTER(LEFT(usRateType[Descartes CG], (FIND(" ", usRateType[Descartes CG], 1)-1)),usRateType[Comment]="3rd")))&gt;0))&gt;1,"Multiple 3rd country group",LEFT(INDEX(usRateType[],MATCH("3rd",usRateType[Comment],0),1), FIND(" ",INDEX(usRateType[],MATCH("3rd",usRateType[Comment],0),1))-1 )),"Missing 3rd country group")</f>
        <v>_DUSALL</v>
      </c>
      <c r="AE4" s="26"/>
      <c r="AG4" s="17" t="s">
        <v>917</v>
      </c>
      <c r="AH4" s="27" t="str" cm="1">
        <f t="array" ref="AH4">IFERROR(
    IF(
        SUM(--(COUNTA(_xlfn.UNIQUE(_xlfn._xlws.FILTER(LEFT(vnRateType[Descartes CG], FIND(" ", vnRateType[Descartes CG], 1)-1), vnRateType[Comment]="3rd")))&gt;0))&gt;1,
        "Multiple 3rd country group",
        LEFT(
            INDEX(vnRateType[Descartes CG], IFERROR(MATCH("3rd", vnRateType[Comment], 0), 1)),
            IFERROR(FIND(" ", INDEX(vnRateType[Descartes CG], IFERROR(MATCH("3rd", vnRateType[Comment], 0), 1))), LEN(INDEX(vnRateType[Descartes CG], IFERROR(MATCH("3rd", vnRateType[Comment], 0), 1))) + 1)
        )
    ),
    "Missing 3rd country group"
)</f>
        <v xml:space="preserve">_DVN1 </v>
      </c>
      <c r="AI4" s="26"/>
      <c r="AK4" t="s">
        <v>869</v>
      </c>
      <c r="AL4" t="s">
        <v>870</v>
      </c>
    </row>
    <row r="5" spans="1:38" ht="15" customHeight="1" x14ac:dyDescent="0.3">
      <c r="AK5" t="s">
        <v>871</v>
      </c>
      <c r="AL5" t="s">
        <v>872</v>
      </c>
    </row>
    <row r="6" spans="1:38" ht="15" customHeight="1" x14ac:dyDescent="0.3">
      <c r="A6" t="s">
        <v>187</v>
      </c>
      <c r="B6" t="s">
        <v>396</v>
      </c>
      <c r="C6" t="s">
        <v>459</v>
      </c>
      <c r="E6" t="s">
        <v>187</v>
      </c>
      <c r="F6" t="s">
        <v>396</v>
      </c>
      <c r="G6" t="s">
        <v>459</v>
      </c>
      <c r="I6" t="s">
        <v>187</v>
      </c>
      <c r="J6" t="s">
        <v>396</v>
      </c>
      <c r="K6" t="s">
        <v>459</v>
      </c>
      <c r="M6" t="s">
        <v>187</v>
      </c>
      <c r="N6" t="s">
        <v>396</v>
      </c>
      <c r="O6" t="s">
        <v>459</v>
      </c>
      <c r="Q6" t="s">
        <v>187</v>
      </c>
      <c r="R6" t="s">
        <v>396</v>
      </c>
      <c r="S6" t="s">
        <v>459</v>
      </c>
      <c r="U6" t="s">
        <v>187</v>
      </c>
      <c r="V6" t="s">
        <v>396</v>
      </c>
      <c r="W6" t="s">
        <v>459</v>
      </c>
      <c r="Y6" t="s">
        <v>187</v>
      </c>
      <c r="Z6" t="s">
        <v>396</v>
      </c>
      <c r="AA6" t="s">
        <v>459</v>
      </c>
      <c r="AC6" t="s">
        <v>187</v>
      </c>
      <c r="AD6" t="s">
        <v>396</v>
      </c>
      <c r="AE6" t="s">
        <v>459</v>
      </c>
      <c r="AG6" s="22" t="s">
        <v>187</v>
      </c>
      <c r="AH6" s="23" t="s">
        <v>396</v>
      </c>
      <c r="AI6" s="24" t="s">
        <v>459</v>
      </c>
      <c r="AK6" t="s">
        <v>873</v>
      </c>
      <c r="AL6" t="s">
        <v>874</v>
      </c>
    </row>
    <row r="7" spans="1:38" ht="15" customHeight="1" x14ac:dyDescent="0.3">
      <c r="A7" t="s">
        <v>593</v>
      </c>
      <c r="B7" t="s">
        <v>458</v>
      </c>
      <c r="C7" s="18" t="s">
        <v>191</v>
      </c>
      <c r="E7" t="s">
        <v>620</v>
      </c>
      <c r="F7" t="s">
        <v>458</v>
      </c>
      <c r="G7" s="18" t="s">
        <v>191</v>
      </c>
      <c r="I7" t="s">
        <v>681</v>
      </c>
      <c r="J7" t="s">
        <v>458</v>
      </c>
      <c r="K7" s="18" t="s">
        <v>242</v>
      </c>
      <c r="N7" t="s">
        <v>460</v>
      </c>
      <c r="O7" s="18" t="s">
        <v>500</v>
      </c>
      <c r="Q7" t="s">
        <v>708</v>
      </c>
      <c r="R7" t="s">
        <v>461</v>
      </c>
      <c r="S7" s="18" t="s">
        <v>274</v>
      </c>
      <c r="U7" t="s">
        <v>783</v>
      </c>
      <c r="V7" t="s">
        <v>458</v>
      </c>
      <c r="W7" s="18" t="s">
        <v>191</v>
      </c>
      <c r="Y7" t="s">
        <v>334</v>
      </c>
      <c r="Z7" t="s">
        <v>461</v>
      </c>
      <c r="AA7" s="18" t="s">
        <v>333</v>
      </c>
      <c r="AC7" s="1" t="s">
        <v>21</v>
      </c>
      <c r="AD7" t="s">
        <v>461</v>
      </c>
      <c r="AE7" s="12" t="s">
        <v>406</v>
      </c>
      <c r="AG7" t="s">
        <v>918</v>
      </c>
      <c r="AH7" t="s">
        <v>461</v>
      </c>
      <c r="AI7" t="s">
        <v>919</v>
      </c>
      <c r="AK7" t="s">
        <v>875</v>
      </c>
      <c r="AL7" t="s">
        <v>876</v>
      </c>
    </row>
    <row r="8" spans="1:38" ht="15" customHeight="1" x14ac:dyDescent="0.3">
      <c r="A8" t="s">
        <v>594</v>
      </c>
      <c r="B8" t="s">
        <v>460</v>
      </c>
      <c r="C8" s="18" t="s">
        <v>192</v>
      </c>
      <c r="E8" t="s">
        <v>621</v>
      </c>
      <c r="F8" t="s">
        <v>461</v>
      </c>
      <c r="G8" s="18" t="s">
        <v>217</v>
      </c>
      <c r="I8" t="s">
        <v>682</v>
      </c>
      <c r="J8" t="s">
        <v>461</v>
      </c>
      <c r="K8" s="18" t="s">
        <v>243</v>
      </c>
      <c r="M8" t="s">
        <v>266</v>
      </c>
      <c r="N8" t="s">
        <v>460</v>
      </c>
      <c r="O8" s="18" t="s">
        <v>463</v>
      </c>
      <c r="Q8" t="s">
        <v>709</v>
      </c>
      <c r="R8" t="s">
        <v>461</v>
      </c>
      <c r="S8" s="18" t="s">
        <v>275</v>
      </c>
      <c r="U8" t="s">
        <v>784</v>
      </c>
      <c r="V8" t="s">
        <v>460</v>
      </c>
      <c r="W8" s="18" t="s">
        <v>193</v>
      </c>
      <c r="Y8" t="s">
        <v>336</v>
      </c>
      <c r="Z8" t="s">
        <v>461</v>
      </c>
      <c r="AA8" s="18" t="s">
        <v>335</v>
      </c>
      <c r="AC8" s="1" t="s">
        <v>803</v>
      </c>
      <c r="AD8" t="s">
        <v>461</v>
      </c>
      <c r="AE8" s="12" t="s">
        <v>407</v>
      </c>
      <c r="AG8" t="s">
        <v>920</v>
      </c>
      <c r="AH8" t="s">
        <v>461</v>
      </c>
      <c r="AI8" t="s">
        <v>921</v>
      </c>
      <c r="AK8" t="s">
        <v>877</v>
      </c>
      <c r="AL8" t="s">
        <v>878</v>
      </c>
    </row>
    <row r="9" spans="1:38" ht="15" customHeight="1" x14ac:dyDescent="0.3">
      <c r="A9" t="s">
        <v>595</v>
      </c>
      <c r="B9" t="s">
        <v>460</v>
      </c>
      <c r="C9" s="18" t="s">
        <v>193</v>
      </c>
      <c r="E9" t="s">
        <v>622</v>
      </c>
      <c r="F9" t="s">
        <v>461</v>
      </c>
      <c r="G9" s="18" t="s">
        <v>218</v>
      </c>
      <c r="I9" t="s">
        <v>683</v>
      </c>
      <c r="J9" t="s">
        <v>461</v>
      </c>
      <c r="K9" s="18" t="s">
        <v>191</v>
      </c>
      <c r="M9" t="s">
        <v>842</v>
      </c>
      <c r="N9" t="s">
        <v>460</v>
      </c>
      <c r="O9" s="18" t="s">
        <v>464</v>
      </c>
      <c r="Q9" t="s">
        <v>710</v>
      </c>
      <c r="R9" t="s">
        <v>461</v>
      </c>
      <c r="S9" s="18" t="s">
        <v>276</v>
      </c>
      <c r="U9" t="s">
        <v>785</v>
      </c>
      <c r="V9" t="s">
        <v>460</v>
      </c>
      <c r="W9" s="18" t="s">
        <v>317</v>
      </c>
      <c r="Y9" t="s">
        <v>338</v>
      </c>
      <c r="Z9" t="s">
        <v>461</v>
      </c>
      <c r="AA9" s="18" t="s">
        <v>337</v>
      </c>
      <c r="AC9" s="1" t="s">
        <v>804</v>
      </c>
      <c r="AD9" t="s">
        <v>461</v>
      </c>
      <c r="AE9" s="12" t="s">
        <v>408</v>
      </c>
      <c r="AG9" t="s">
        <v>922</v>
      </c>
      <c r="AH9" t="s">
        <v>461</v>
      </c>
      <c r="AI9" t="s">
        <v>923</v>
      </c>
      <c r="AK9" t="s">
        <v>879</v>
      </c>
      <c r="AL9" t="s">
        <v>880</v>
      </c>
    </row>
    <row r="10" spans="1:38" ht="15" customHeight="1" x14ac:dyDescent="0.3">
      <c r="A10" t="s">
        <v>596</v>
      </c>
      <c r="B10" t="s">
        <v>460</v>
      </c>
      <c r="C10" s="18" t="s">
        <v>194</v>
      </c>
      <c r="E10" t="s">
        <v>623</v>
      </c>
      <c r="F10" t="s">
        <v>461</v>
      </c>
      <c r="G10" s="18" t="s">
        <v>219</v>
      </c>
      <c r="I10" t="s">
        <v>684</v>
      </c>
      <c r="J10" t="s">
        <v>461</v>
      </c>
      <c r="K10" s="18" t="s">
        <v>191</v>
      </c>
      <c r="M10" t="s">
        <v>843</v>
      </c>
      <c r="N10" t="s">
        <v>460</v>
      </c>
      <c r="O10" s="18" t="s">
        <v>465</v>
      </c>
      <c r="Q10" t="s">
        <v>711</v>
      </c>
      <c r="R10" t="s">
        <v>461</v>
      </c>
      <c r="S10" s="18" t="s">
        <v>277</v>
      </c>
      <c r="U10" t="s">
        <v>786</v>
      </c>
      <c r="V10" t="s">
        <v>460</v>
      </c>
      <c r="W10" s="18" t="s">
        <v>318</v>
      </c>
      <c r="Y10" t="s">
        <v>340</v>
      </c>
      <c r="Z10" t="s">
        <v>461</v>
      </c>
      <c r="AA10" s="18" t="s">
        <v>339</v>
      </c>
      <c r="AC10" s="1" t="s">
        <v>805</v>
      </c>
      <c r="AD10" t="s">
        <v>461</v>
      </c>
      <c r="AE10" s="12" t="s">
        <v>409</v>
      </c>
      <c r="AG10" t="s">
        <v>924</v>
      </c>
      <c r="AH10" t="s">
        <v>461</v>
      </c>
      <c r="AI10" t="s">
        <v>925</v>
      </c>
      <c r="AK10" t="s">
        <v>881</v>
      </c>
      <c r="AL10" t="s">
        <v>882</v>
      </c>
    </row>
    <row r="11" spans="1:38" ht="15" customHeight="1" x14ac:dyDescent="0.3">
      <c r="A11" t="s">
        <v>597</v>
      </c>
      <c r="B11" t="s">
        <v>461</v>
      </c>
      <c r="C11" s="18" t="s">
        <v>195</v>
      </c>
      <c r="E11" t="s">
        <v>624</v>
      </c>
      <c r="F11" t="s">
        <v>461</v>
      </c>
      <c r="G11" s="18" t="s">
        <v>220</v>
      </c>
      <c r="I11" t="s">
        <v>685</v>
      </c>
      <c r="J11" t="s">
        <v>461</v>
      </c>
      <c r="K11" s="18" t="s">
        <v>244</v>
      </c>
      <c r="M11" t="s">
        <v>844</v>
      </c>
      <c r="N11" t="s">
        <v>460</v>
      </c>
      <c r="O11" s="18" t="s">
        <v>466</v>
      </c>
      <c r="Q11" t="s">
        <v>712</v>
      </c>
      <c r="R11" t="s">
        <v>461</v>
      </c>
      <c r="S11" s="18" t="s">
        <v>278</v>
      </c>
      <c r="U11" t="s">
        <v>787</v>
      </c>
      <c r="V11" t="s">
        <v>460</v>
      </c>
      <c r="W11" s="18" t="s">
        <v>319</v>
      </c>
      <c r="Y11" t="s">
        <v>341</v>
      </c>
      <c r="Z11" t="s">
        <v>461</v>
      </c>
      <c r="AA11" s="18" t="s">
        <v>194</v>
      </c>
      <c r="AC11" s="1" t="s">
        <v>806</v>
      </c>
      <c r="AD11" t="s">
        <v>458</v>
      </c>
      <c r="AE11" s="12" t="s">
        <v>410</v>
      </c>
      <c r="AG11" t="s">
        <v>926</v>
      </c>
      <c r="AH11" t="s">
        <v>461</v>
      </c>
      <c r="AI11" t="s">
        <v>927</v>
      </c>
      <c r="AK11" t="s">
        <v>883</v>
      </c>
      <c r="AL11" t="s">
        <v>884</v>
      </c>
    </row>
    <row r="12" spans="1:38" ht="15" customHeight="1" x14ac:dyDescent="0.3">
      <c r="A12" t="s">
        <v>598</v>
      </c>
      <c r="B12" t="s">
        <v>460</v>
      </c>
      <c r="C12" s="18" t="s">
        <v>196</v>
      </c>
      <c r="E12" t="s">
        <v>625</v>
      </c>
      <c r="F12" t="s">
        <v>461</v>
      </c>
      <c r="G12" s="18" t="s">
        <v>220</v>
      </c>
      <c r="I12" t="s">
        <v>686</v>
      </c>
      <c r="J12" t="s">
        <v>461</v>
      </c>
      <c r="K12" s="18" t="s">
        <v>245</v>
      </c>
      <c r="M12" t="s">
        <v>845</v>
      </c>
      <c r="N12" t="s">
        <v>460</v>
      </c>
      <c r="O12" s="18" t="s">
        <v>467</v>
      </c>
      <c r="Q12" t="s">
        <v>713</v>
      </c>
      <c r="R12" t="s">
        <v>461</v>
      </c>
      <c r="S12" s="18" t="s">
        <v>279</v>
      </c>
      <c r="U12" t="s">
        <v>788</v>
      </c>
      <c r="V12" t="s">
        <v>461</v>
      </c>
      <c r="W12" s="18" t="s">
        <v>320</v>
      </c>
      <c r="Y12" t="s">
        <v>342</v>
      </c>
      <c r="Z12" t="s">
        <v>461</v>
      </c>
      <c r="AA12" s="18" t="s">
        <v>248</v>
      </c>
      <c r="AC12" s="1" t="s">
        <v>807</v>
      </c>
      <c r="AD12" t="s">
        <v>461</v>
      </c>
      <c r="AE12" s="12" t="s">
        <v>410</v>
      </c>
      <c r="AG12" t="s">
        <v>928</v>
      </c>
      <c r="AH12" t="s">
        <v>461</v>
      </c>
      <c r="AI12" t="s">
        <v>929</v>
      </c>
      <c r="AK12" t="s">
        <v>885</v>
      </c>
      <c r="AL12" t="s">
        <v>886</v>
      </c>
    </row>
    <row r="13" spans="1:38" ht="15" customHeight="1" x14ac:dyDescent="0.3">
      <c r="A13" t="s">
        <v>599</v>
      </c>
      <c r="B13" t="s">
        <v>460</v>
      </c>
      <c r="C13" s="18" t="s">
        <v>197</v>
      </c>
      <c r="E13" t="s">
        <v>626</v>
      </c>
      <c r="F13" t="s">
        <v>461</v>
      </c>
      <c r="G13" s="18" t="s">
        <v>221</v>
      </c>
      <c r="I13" t="s">
        <v>687</v>
      </c>
      <c r="J13" t="s">
        <v>461</v>
      </c>
      <c r="K13" s="18" t="s">
        <v>246</v>
      </c>
      <c r="M13" t="s">
        <v>846</v>
      </c>
      <c r="N13" t="s">
        <v>460</v>
      </c>
      <c r="O13" s="18" t="s">
        <v>468</v>
      </c>
      <c r="Q13" t="s">
        <v>714</v>
      </c>
      <c r="R13" t="s">
        <v>461</v>
      </c>
      <c r="S13" s="18" t="s">
        <v>280</v>
      </c>
      <c r="U13" t="s">
        <v>789</v>
      </c>
      <c r="V13" t="s">
        <v>460</v>
      </c>
      <c r="W13" s="18" t="s">
        <v>321</v>
      </c>
      <c r="Y13" t="s">
        <v>862</v>
      </c>
      <c r="Z13" t="s">
        <v>458</v>
      </c>
      <c r="AA13" s="18" t="s">
        <v>191</v>
      </c>
      <c r="AC13" s="1" t="s">
        <v>808</v>
      </c>
      <c r="AD13" t="s">
        <v>461</v>
      </c>
      <c r="AE13" s="12" t="s">
        <v>411</v>
      </c>
      <c r="AG13" t="s">
        <v>930</v>
      </c>
      <c r="AH13" t="s">
        <v>461</v>
      </c>
      <c r="AI13" t="s">
        <v>931</v>
      </c>
      <c r="AK13" t="s">
        <v>887</v>
      </c>
      <c r="AL13" t="s">
        <v>888</v>
      </c>
    </row>
    <row r="14" spans="1:38" ht="15" customHeight="1" x14ac:dyDescent="0.3">
      <c r="A14" t="s">
        <v>600</v>
      </c>
      <c r="B14" t="s">
        <v>461</v>
      </c>
      <c r="C14" s="18" t="s">
        <v>198</v>
      </c>
      <c r="E14" t="s">
        <v>627</v>
      </c>
      <c r="F14" t="s">
        <v>461</v>
      </c>
      <c r="G14" s="18" t="s">
        <v>221</v>
      </c>
      <c r="I14" t="s">
        <v>688</v>
      </c>
      <c r="J14" t="s">
        <v>461</v>
      </c>
      <c r="K14" s="18" t="s">
        <v>247</v>
      </c>
      <c r="M14" t="s">
        <v>847</v>
      </c>
      <c r="N14" t="s">
        <v>460</v>
      </c>
      <c r="O14" s="18" t="s">
        <v>469</v>
      </c>
      <c r="Q14" t="s">
        <v>715</v>
      </c>
      <c r="R14" t="s">
        <v>461</v>
      </c>
      <c r="S14" s="18" t="s">
        <v>281</v>
      </c>
      <c r="U14" t="s">
        <v>790</v>
      </c>
      <c r="V14" t="s">
        <v>460</v>
      </c>
      <c r="W14" s="18" t="s">
        <v>322</v>
      </c>
      <c r="AC14" s="1" t="s">
        <v>809</v>
      </c>
      <c r="AD14" t="s">
        <v>461</v>
      </c>
      <c r="AE14" s="12" t="s">
        <v>412</v>
      </c>
      <c r="AG14" t="s">
        <v>932</v>
      </c>
      <c r="AH14" t="s">
        <v>461</v>
      </c>
      <c r="AI14" t="s">
        <v>933</v>
      </c>
      <c r="AK14" t="s">
        <v>889</v>
      </c>
      <c r="AL14" t="s">
        <v>890</v>
      </c>
    </row>
    <row r="15" spans="1:38" ht="15" customHeight="1" x14ac:dyDescent="0.3">
      <c r="A15" t="s">
        <v>601</v>
      </c>
      <c r="B15" t="s">
        <v>460</v>
      </c>
      <c r="C15" s="18" t="s">
        <v>199</v>
      </c>
      <c r="E15" t="s">
        <v>628</v>
      </c>
      <c r="F15" t="s">
        <v>461</v>
      </c>
      <c r="G15" s="18" t="s">
        <v>222</v>
      </c>
      <c r="I15" t="s">
        <v>689</v>
      </c>
      <c r="J15" t="s">
        <v>461</v>
      </c>
      <c r="K15" s="18" t="s">
        <v>248</v>
      </c>
      <c r="M15" t="s">
        <v>848</v>
      </c>
      <c r="N15" t="s">
        <v>460</v>
      </c>
      <c r="O15" s="18" t="s">
        <v>470</v>
      </c>
      <c r="Q15" t="s">
        <v>707</v>
      </c>
      <c r="R15" t="s">
        <v>458</v>
      </c>
      <c r="S15" s="18" t="s">
        <v>191</v>
      </c>
      <c r="U15" t="s">
        <v>791</v>
      </c>
      <c r="V15" t="s">
        <v>461</v>
      </c>
      <c r="W15" s="18" t="s">
        <v>323</v>
      </c>
      <c r="Y15" t="s">
        <v>110</v>
      </c>
      <c r="Z15" t="s">
        <v>109</v>
      </c>
      <c r="AC15" s="1" t="s">
        <v>22</v>
      </c>
      <c r="AD15" t="s">
        <v>461</v>
      </c>
      <c r="AE15" s="12" t="s">
        <v>413</v>
      </c>
      <c r="AG15" t="s">
        <v>934</v>
      </c>
      <c r="AH15" t="s">
        <v>461</v>
      </c>
      <c r="AI15" t="s">
        <v>935</v>
      </c>
      <c r="AK15" t="s">
        <v>891</v>
      </c>
      <c r="AL15" t="s">
        <v>892</v>
      </c>
    </row>
    <row r="16" spans="1:38" ht="15" customHeight="1" x14ac:dyDescent="0.3">
      <c r="A16" t="s">
        <v>602</v>
      </c>
      <c r="B16" t="s">
        <v>460</v>
      </c>
      <c r="C16" s="18" t="s">
        <v>200</v>
      </c>
      <c r="E16" t="s">
        <v>629</v>
      </c>
      <c r="F16" t="s">
        <v>461</v>
      </c>
      <c r="G16" s="18" t="s">
        <v>223</v>
      </c>
      <c r="I16" t="s">
        <v>690</v>
      </c>
      <c r="J16" t="s">
        <v>461</v>
      </c>
      <c r="K16" s="18" t="s">
        <v>249</v>
      </c>
      <c r="M16" t="s">
        <v>267</v>
      </c>
      <c r="N16" t="s">
        <v>460</v>
      </c>
      <c r="O16" s="18" t="s">
        <v>471</v>
      </c>
      <c r="Q16" t="s">
        <v>782</v>
      </c>
      <c r="R16" t="s">
        <v>461</v>
      </c>
      <c r="S16" s="18" t="s">
        <v>191</v>
      </c>
      <c r="U16" t="s">
        <v>792</v>
      </c>
      <c r="V16" t="s">
        <v>460</v>
      </c>
      <c r="W16" s="18" t="s">
        <v>324</v>
      </c>
      <c r="Z16" t="s">
        <v>123</v>
      </c>
      <c r="AC16" s="1" t="s">
        <v>810</v>
      </c>
      <c r="AD16" t="s">
        <v>460</v>
      </c>
      <c r="AE16" s="12" t="s">
        <v>414</v>
      </c>
      <c r="AG16" t="s">
        <v>936</v>
      </c>
      <c r="AH16" t="s">
        <v>461</v>
      </c>
      <c r="AI16" t="s">
        <v>937</v>
      </c>
      <c r="AK16" t="s">
        <v>893</v>
      </c>
      <c r="AL16" t="s">
        <v>894</v>
      </c>
    </row>
    <row r="17" spans="1:38" ht="15" customHeight="1" x14ac:dyDescent="0.3">
      <c r="A17" t="s">
        <v>603</v>
      </c>
      <c r="B17" t="s">
        <v>461</v>
      </c>
      <c r="C17" s="18" t="s">
        <v>201</v>
      </c>
      <c r="E17" t="s">
        <v>630</v>
      </c>
      <c r="F17" t="s">
        <v>461</v>
      </c>
      <c r="G17" s="18" t="s">
        <v>224</v>
      </c>
      <c r="I17" t="s">
        <v>691</v>
      </c>
      <c r="J17" t="s">
        <v>461</v>
      </c>
      <c r="K17" s="18" t="s">
        <v>250</v>
      </c>
      <c r="M17" t="s">
        <v>849</v>
      </c>
      <c r="N17" t="s">
        <v>461</v>
      </c>
      <c r="O17" s="18" t="s">
        <v>472</v>
      </c>
      <c r="Q17" t="s">
        <v>716</v>
      </c>
      <c r="R17" t="s">
        <v>461</v>
      </c>
      <c r="S17" s="18" t="s">
        <v>282</v>
      </c>
      <c r="U17" t="s">
        <v>793</v>
      </c>
      <c r="V17" t="s">
        <v>460</v>
      </c>
      <c r="W17" s="18" t="s">
        <v>325</v>
      </c>
      <c r="Y17" t="s">
        <v>159</v>
      </c>
      <c r="Z17" t="s">
        <v>123</v>
      </c>
      <c r="AC17" s="1" t="s">
        <v>811</v>
      </c>
      <c r="AD17" t="s">
        <v>460</v>
      </c>
      <c r="AE17" s="12" t="s">
        <v>415</v>
      </c>
      <c r="AG17" t="s">
        <v>938</v>
      </c>
      <c r="AH17" t="s">
        <v>461</v>
      </c>
      <c r="AI17" t="s">
        <v>939</v>
      </c>
      <c r="AK17" t="s">
        <v>895</v>
      </c>
      <c r="AL17" t="s">
        <v>896</v>
      </c>
    </row>
    <row r="18" spans="1:38" ht="15" customHeight="1" x14ac:dyDescent="0.3">
      <c r="A18" t="s">
        <v>604</v>
      </c>
      <c r="B18" t="s">
        <v>460</v>
      </c>
      <c r="C18" s="18" t="s">
        <v>202</v>
      </c>
      <c r="E18" t="s">
        <v>631</v>
      </c>
      <c r="F18" t="s">
        <v>461</v>
      </c>
      <c r="G18" s="18" t="s">
        <v>225</v>
      </c>
      <c r="I18" t="s">
        <v>692</v>
      </c>
      <c r="J18" t="s">
        <v>461</v>
      </c>
      <c r="K18" s="18" t="s">
        <v>251</v>
      </c>
      <c r="M18" t="s">
        <v>268</v>
      </c>
      <c r="N18" t="s">
        <v>460</v>
      </c>
      <c r="O18" s="18" t="s">
        <v>473</v>
      </c>
      <c r="Q18" t="s">
        <v>717</v>
      </c>
      <c r="R18" t="s">
        <v>461</v>
      </c>
      <c r="S18" s="18" t="s">
        <v>283</v>
      </c>
      <c r="U18" t="s">
        <v>794</v>
      </c>
      <c r="V18" t="s">
        <v>461</v>
      </c>
      <c r="W18" s="18" t="s">
        <v>326</v>
      </c>
      <c r="Y18" t="s">
        <v>160</v>
      </c>
      <c r="Z18" t="s">
        <v>123</v>
      </c>
      <c r="AC18" s="1" t="s">
        <v>23</v>
      </c>
      <c r="AD18" t="s">
        <v>460</v>
      </c>
      <c r="AE18" s="12" t="s">
        <v>415</v>
      </c>
      <c r="AG18" t="s">
        <v>940</v>
      </c>
      <c r="AH18" t="s">
        <v>461</v>
      </c>
      <c r="AI18" t="s">
        <v>941</v>
      </c>
      <c r="AK18" t="s">
        <v>897</v>
      </c>
      <c r="AL18" t="s">
        <v>898</v>
      </c>
    </row>
    <row r="19" spans="1:38" ht="15" customHeight="1" x14ac:dyDescent="0.3">
      <c r="A19" t="s">
        <v>605</v>
      </c>
      <c r="B19" t="s">
        <v>460</v>
      </c>
      <c r="C19" s="18" t="s">
        <v>203</v>
      </c>
      <c r="E19" t="s">
        <v>632</v>
      </c>
      <c r="F19" t="s">
        <v>461</v>
      </c>
      <c r="G19" s="18" t="s">
        <v>226</v>
      </c>
      <c r="I19" t="s">
        <v>693</v>
      </c>
      <c r="J19" t="s">
        <v>461</v>
      </c>
      <c r="K19" s="18" t="s">
        <v>252</v>
      </c>
      <c r="M19" t="s">
        <v>269</v>
      </c>
      <c r="N19" t="s">
        <v>460</v>
      </c>
      <c r="O19" s="18" t="s">
        <v>474</v>
      </c>
      <c r="Q19" t="s">
        <v>718</v>
      </c>
      <c r="R19" t="s">
        <v>461</v>
      </c>
      <c r="S19" s="18" t="s">
        <v>284</v>
      </c>
      <c r="U19" t="s">
        <v>795</v>
      </c>
      <c r="V19" t="s">
        <v>460</v>
      </c>
      <c r="W19" s="18" t="s">
        <v>327</v>
      </c>
      <c r="Y19" t="s">
        <v>161</v>
      </c>
      <c r="Z19" t="s">
        <v>123</v>
      </c>
      <c r="AC19" s="1" t="s">
        <v>812</v>
      </c>
      <c r="AD19" t="s">
        <v>461</v>
      </c>
      <c r="AE19" s="12" t="s">
        <v>416</v>
      </c>
      <c r="AG19" t="s">
        <v>942</v>
      </c>
      <c r="AH19" t="s">
        <v>461</v>
      </c>
      <c r="AI19" t="s">
        <v>943</v>
      </c>
      <c r="AK19" t="s">
        <v>899</v>
      </c>
      <c r="AL19" t="s">
        <v>898</v>
      </c>
    </row>
    <row r="20" spans="1:38" ht="15" customHeight="1" x14ac:dyDescent="0.3">
      <c r="A20" t="s">
        <v>606</v>
      </c>
      <c r="B20" t="s">
        <v>461</v>
      </c>
      <c r="C20" s="18" t="s">
        <v>204</v>
      </c>
      <c r="E20" t="s">
        <v>633</v>
      </c>
      <c r="F20" t="s">
        <v>461</v>
      </c>
      <c r="G20" s="18" t="s">
        <v>227</v>
      </c>
      <c r="I20" t="s">
        <v>694</v>
      </c>
      <c r="J20" t="s">
        <v>461</v>
      </c>
      <c r="K20" s="18" t="s">
        <v>253</v>
      </c>
      <c r="M20" t="s">
        <v>850</v>
      </c>
      <c r="N20" t="s">
        <v>460</v>
      </c>
      <c r="O20" s="18" t="s">
        <v>475</v>
      </c>
      <c r="Q20" t="s">
        <v>758</v>
      </c>
      <c r="R20" t="s">
        <v>461</v>
      </c>
      <c r="S20" s="18" t="s">
        <v>285</v>
      </c>
      <c r="U20" t="s">
        <v>796</v>
      </c>
      <c r="V20" t="s">
        <v>461</v>
      </c>
      <c r="W20" s="18" t="s">
        <v>212</v>
      </c>
      <c r="AC20" s="1" t="s">
        <v>911</v>
      </c>
      <c r="AD20" s="11" t="s">
        <v>461</v>
      </c>
      <c r="AE20" s="12" t="s">
        <v>416</v>
      </c>
      <c r="AG20" t="s">
        <v>944</v>
      </c>
      <c r="AH20" t="s">
        <v>461</v>
      </c>
      <c r="AI20" t="s">
        <v>945</v>
      </c>
    </row>
    <row r="21" spans="1:38" ht="15" customHeight="1" x14ac:dyDescent="0.3">
      <c r="A21" t="s">
        <v>607</v>
      </c>
      <c r="B21" t="s">
        <v>460</v>
      </c>
      <c r="C21" s="18" t="s">
        <v>205</v>
      </c>
      <c r="E21" t="s">
        <v>634</v>
      </c>
      <c r="F21" t="s">
        <v>461</v>
      </c>
      <c r="G21" s="18" t="s">
        <v>228</v>
      </c>
      <c r="I21" t="s">
        <v>695</v>
      </c>
      <c r="J21" t="s">
        <v>461</v>
      </c>
      <c r="K21" s="18" t="s">
        <v>254</v>
      </c>
      <c r="M21" t="s">
        <v>270</v>
      </c>
      <c r="N21" t="s">
        <v>460</v>
      </c>
      <c r="O21" s="18" t="s">
        <v>476</v>
      </c>
      <c r="Q21" t="s">
        <v>759</v>
      </c>
      <c r="R21" t="s">
        <v>461</v>
      </c>
      <c r="S21" s="18" t="s">
        <v>286</v>
      </c>
      <c r="U21" t="s">
        <v>797</v>
      </c>
      <c r="V21" t="s">
        <v>460</v>
      </c>
      <c r="W21" s="18" t="s">
        <v>328</v>
      </c>
      <c r="AC21" s="1" t="s">
        <v>813</v>
      </c>
      <c r="AD21" t="s">
        <v>461</v>
      </c>
      <c r="AE21" s="12" t="s">
        <v>417</v>
      </c>
      <c r="AG21" t="s">
        <v>946</v>
      </c>
      <c r="AH21" t="s">
        <v>461</v>
      </c>
      <c r="AI21" t="s">
        <v>947</v>
      </c>
    </row>
    <row r="22" spans="1:38" ht="15" customHeight="1" x14ac:dyDescent="0.3">
      <c r="A22" t="s">
        <v>608</v>
      </c>
      <c r="B22" t="s">
        <v>460</v>
      </c>
      <c r="C22" s="18" t="s">
        <v>206</v>
      </c>
      <c r="E22" t="s">
        <v>635</v>
      </c>
      <c r="F22" t="s">
        <v>461</v>
      </c>
      <c r="G22" s="18" t="s">
        <v>229</v>
      </c>
      <c r="I22" t="s">
        <v>696</v>
      </c>
      <c r="J22" t="s">
        <v>461</v>
      </c>
      <c r="K22" s="18" t="s">
        <v>255</v>
      </c>
      <c r="M22" t="s">
        <v>271</v>
      </c>
      <c r="N22" t="s">
        <v>460</v>
      </c>
      <c r="O22" s="18" t="s">
        <v>477</v>
      </c>
      <c r="Q22" t="s">
        <v>760</v>
      </c>
      <c r="R22" t="s">
        <v>461</v>
      </c>
      <c r="S22" s="18" t="s">
        <v>287</v>
      </c>
      <c r="U22" t="s">
        <v>798</v>
      </c>
      <c r="V22" t="s">
        <v>460</v>
      </c>
      <c r="W22" s="18" t="s">
        <v>329</v>
      </c>
      <c r="AC22" s="1" t="s">
        <v>814</v>
      </c>
      <c r="AD22" t="s">
        <v>461</v>
      </c>
      <c r="AE22" s="12" t="s">
        <v>418</v>
      </c>
      <c r="AG22" t="s">
        <v>948</v>
      </c>
      <c r="AH22" t="s">
        <v>461</v>
      </c>
      <c r="AI22" t="s">
        <v>949</v>
      </c>
    </row>
    <row r="23" spans="1:38" ht="15" customHeight="1" x14ac:dyDescent="0.3">
      <c r="A23" t="s">
        <v>609</v>
      </c>
      <c r="B23" t="s">
        <v>460</v>
      </c>
      <c r="C23" s="18" t="s">
        <v>207</v>
      </c>
      <c r="E23" t="s">
        <v>636</v>
      </c>
      <c r="F23" t="s">
        <v>461</v>
      </c>
      <c r="G23" s="18" t="s">
        <v>221</v>
      </c>
      <c r="I23" t="s">
        <v>697</v>
      </c>
      <c r="J23" t="s">
        <v>461</v>
      </c>
      <c r="K23" s="18" t="s">
        <v>256</v>
      </c>
      <c r="M23" t="s">
        <v>851</v>
      </c>
      <c r="N23" t="s">
        <v>460</v>
      </c>
      <c r="O23" s="18" t="s">
        <v>478</v>
      </c>
      <c r="Q23" t="s">
        <v>761</v>
      </c>
      <c r="R23" t="s">
        <v>461</v>
      </c>
      <c r="S23" s="18" t="s">
        <v>501</v>
      </c>
      <c r="U23" t="s">
        <v>799</v>
      </c>
      <c r="V23" t="s">
        <v>460</v>
      </c>
      <c r="W23" s="18" t="s">
        <v>330</v>
      </c>
      <c r="AC23" s="1" t="s">
        <v>815</v>
      </c>
      <c r="AD23" t="s">
        <v>461</v>
      </c>
      <c r="AE23" s="12" t="s">
        <v>419</v>
      </c>
      <c r="AG23" t="s">
        <v>950</v>
      </c>
      <c r="AH23" t="s">
        <v>461</v>
      </c>
      <c r="AI23" t="s">
        <v>951</v>
      </c>
    </row>
    <row r="24" spans="1:38" ht="15" customHeight="1" x14ac:dyDescent="0.3">
      <c r="A24" t="s">
        <v>610</v>
      </c>
      <c r="B24" t="s">
        <v>460</v>
      </c>
      <c r="C24" s="18" t="s">
        <v>208</v>
      </c>
      <c r="E24" t="s">
        <v>637</v>
      </c>
      <c r="F24" t="s">
        <v>461</v>
      </c>
      <c r="G24" s="18" t="s">
        <v>226</v>
      </c>
      <c r="I24" t="s">
        <v>698</v>
      </c>
      <c r="J24" t="s">
        <v>461</v>
      </c>
      <c r="K24" s="18" t="s">
        <v>257</v>
      </c>
      <c r="M24" t="s">
        <v>272</v>
      </c>
      <c r="N24" t="s">
        <v>460</v>
      </c>
      <c r="O24" s="18" t="s">
        <v>466</v>
      </c>
      <c r="Q24" t="s">
        <v>901</v>
      </c>
      <c r="R24" t="s">
        <v>461</v>
      </c>
      <c r="S24" s="18" t="s">
        <v>123</v>
      </c>
      <c r="U24" t="s">
        <v>800</v>
      </c>
      <c r="V24" t="s">
        <v>460</v>
      </c>
      <c r="W24" s="18" t="s">
        <v>331</v>
      </c>
      <c r="AC24" s="1" t="s">
        <v>816</v>
      </c>
      <c r="AD24" t="s">
        <v>460</v>
      </c>
      <c r="AE24" s="12" t="s">
        <v>420</v>
      </c>
      <c r="AG24" t="s">
        <v>952</v>
      </c>
      <c r="AH24" t="s">
        <v>461</v>
      </c>
      <c r="AI24" t="s">
        <v>953</v>
      </c>
    </row>
    <row r="25" spans="1:38" ht="15" customHeight="1" x14ac:dyDescent="0.3">
      <c r="A25" t="s">
        <v>611</v>
      </c>
      <c r="B25" t="s">
        <v>460</v>
      </c>
      <c r="C25" s="18" t="s">
        <v>209</v>
      </c>
      <c r="E25" t="s">
        <v>638</v>
      </c>
      <c r="F25" t="s">
        <v>461</v>
      </c>
      <c r="G25" s="18" t="s">
        <v>230</v>
      </c>
      <c r="I25" t="s">
        <v>699</v>
      </c>
      <c r="J25" t="s">
        <v>461</v>
      </c>
      <c r="K25" s="18" t="s">
        <v>258</v>
      </c>
      <c r="M25" t="s">
        <v>852</v>
      </c>
      <c r="N25" t="s">
        <v>460</v>
      </c>
      <c r="O25" s="18" t="s">
        <v>479</v>
      </c>
      <c r="Q25" t="s">
        <v>762</v>
      </c>
      <c r="R25" t="s">
        <v>461</v>
      </c>
      <c r="S25" s="18" t="s">
        <v>221</v>
      </c>
      <c r="U25" t="s">
        <v>801</v>
      </c>
      <c r="V25" t="s">
        <v>460</v>
      </c>
      <c r="W25" s="18" t="s">
        <v>332</v>
      </c>
      <c r="AC25" s="1" t="s">
        <v>817</v>
      </c>
      <c r="AD25" t="s">
        <v>460</v>
      </c>
      <c r="AE25" s="12" t="s">
        <v>421</v>
      </c>
      <c r="AG25" t="s">
        <v>954</v>
      </c>
      <c r="AH25" t="s">
        <v>461</v>
      </c>
      <c r="AI25" t="s">
        <v>955</v>
      </c>
    </row>
    <row r="26" spans="1:38" ht="15" customHeight="1" x14ac:dyDescent="0.3">
      <c r="A26" t="s">
        <v>612</v>
      </c>
      <c r="B26" t="s">
        <v>460</v>
      </c>
      <c r="C26" s="18" t="s">
        <v>210</v>
      </c>
      <c r="E26" t="s">
        <v>639</v>
      </c>
      <c r="F26" t="s">
        <v>461</v>
      </c>
      <c r="G26" s="18" t="s">
        <v>229</v>
      </c>
      <c r="I26" t="s">
        <v>700</v>
      </c>
      <c r="J26" t="s">
        <v>461</v>
      </c>
      <c r="K26" s="18" t="s">
        <v>259</v>
      </c>
      <c r="M26" t="s">
        <v>853</v>
      </c>
      <c r="N26" t="s">
        <v>460</v>
      </c>
      <c r="O26" s="18" t="s">
        <v>480</v>
      </c>
      <c r="Q26" t="s">
        <v>763</v>
      </c>
      <c r="R26" t="s">
        <v>461</v>
      </c>
      <c r="S26" s="18" t="s">
        <v>221</v>
      </c>
      <c r="U26" t="s">
        <v>802</v>
      </c>
      <c r="V26" t="s">
        <v>460</v>
      </c>
      <c r="W26" s="18" t="s">
        <v>216</v>
      </c>
      <c r="AC26" s="1" t="s">
        <v>818</v>
      </c>
      <c r="AD26" t="s">
        <v>460</v>
      </c>
      <c r="AE26" s="12" t="s">
        <v>422</v>
      </c>
      <c r="AG26" t="s">
        <v>956</v>
      </c>
      <c r="AH26" t="s">
        <v>461</v>
      </c>
      <c r="AI26" t="s">
        <v>957</v>
      </c>
    </row>
    <row r="27" spans="1:38" ht="15" customHeight="1" x14ac:dyDescent="0.3">
      <c r="A27" t="s">
        <v>613</v>
      </c>
      <c r="B27" t="s">
        <v>460</v>
      </c>
      <c r="C27" s="18" t="s">
        <v>211</v>
      </c>
      <c r="E27" t="s">
        <v>640</v>
      </c>
      <c r="F27" t="s">
        <v>461</v>
      </c>
      <c r="G27" s="18" t="s">
        <v>221</v>
      </c>
      <c r="I27" t="s">
        <v>701</v>
      </c>
      <c r="J27" t="s">
        <v>461</v>
      </c>
      <c r="K27" s="18" t="s">
        <v>260</v>
      </c>
      <c r="M27" t="s">
        <v>854</v>
      </c>
      <c r="N27" t="s">
        <v>460</v>
      </c>
      <c r="O27" s="18" t="s">
        <v>481</v>
      </c>
      <c r="Q27" t="s">
        <v>764</v>
      </c>
      <c r="R27" t="s">
        <v>461</v>
      </c>
      <c r="S27" s="18" t="s">
        <v>221</v>
      </c>
      <c r="AC27" s="1" t="s">
        <v>819</v>
      </c>
      <c r="AD27" t="s">
        <v>461</v>
      </c>
      <c r="AE27" s="12" t="s">
        <v>423</v>
      </c>
      <c r="AG27" t="s">
        <v>958</v>
      </c>
      <c r="AH27" t="s">
        <v>461</v>
      </c>
      <c r="AI27" t="s">
        <v>959</v>
      </c>
    </row>
    <row r="28" spans="1:38" ht="15" customHeight="1" x14ac:dyDescent="0.3">
      <c r="A28" t="s">
        <v>614</v>
      </c>
      <c r="B28" t="s">
        <v>461</v>
      </c>
      <c r="C28" s="18" t="s">
        <v>212</v>
      </c>
      <c r="E28" t="s">
        <v>641</v>
      </c>
      <c r="F28" t="s">
        <v>461</v>
      </c>
      <c r="G28" s="18" t="s">
        <v>226</v>
      </c>
      <c r="I28" t="s">
        <v>702</v>
      </c>
      <c r="J28" t="s">
        <v>461</v>
      </c>
      <c r="K28" s="18" t="s">
        <v>261</v>
      </c>
      <c r="M28" t="s">
        <v>855</v>
      </c>
      <c r="N28" t="s">
        <v>460</v>
      </c>
      <c r="O28" s="18" t="s">
        <v>482</v>
      </c>
      <c r="Q28" t="s">
        <v>765</v>
      </c>
      <c r="R28" t="s">
        <v>461</v>
      </c>
      <c r="S28" s="18" t="s">
        <v>221</v>
      </c>
      <c r="U28" t="s">
        <v>110</v>
      </c>
      <c r="V28" t="s">
        <v>109</v>
      </c>
      <c r="AC28" s="1" t="s">
        <v>24</v>
      </c>
      <c r="AD28" t="s">
        <v>460</v>
      </c>
      <c r="AE28" s="12" t="s">
        <v>424</v>
      </c>
      <c r="AG28" t="s">
        <v>960</v>
      </c>
      <c r="AH28" t="s">
        <v>461</v>
      </c>
      <c r="AI28" t="s">
        <v>961</v>
      </c>
    </row>
    <row r="29" spans="1:38" ht="15" customHeight="1" x14ac:dyDescent="0.3">
      <c r="A29" t="s">
        <v>615</v>
      </c>
      <c r="B29" t="s">
        <v>460</v>
      </c>
      <c r="C29" s="18" t="s">
        <v>213</v>
      </c>
      <c r="E29" t="s">
        <v>642</v>
      </c>
      <c r="F29" t="s">
        <v>461</v>
      </c>
      <c r="G29" s="18" t="s">
        <v>229</v>
      </c>
      <c r="I29" t="s">
        <v>703</v>
      </c>
      <c r="J29" t="s">
        <v>461</v>
      </c>
      <c r="K29" s="18" t="s">
        <v>262</v>
      </c>
      <c r="M29" t="s">
        <v>859</v>
      </c>
      <c r="N29" t="s">
        <v>460</v>
      </c>
      <c r="O29" s="18" t="s">
        <v>483</v>
      </c>
      <c r="Q29" t="s">
        <v>766</v>
      </c>
      <c r="R29" t="s">
        <v>461</v>
      </c>
      <c r="S29" s="18" t="s">
        <v>221</v>
      </c>
      <c r="V29" t="s">
        <v>123</v>
      </c>
      <c r="AC29" s="1" t="s">
        <v>25</v>
      </c>
      <c r="AD29" t="s">
        <v>461</v>
      </c>
      <c r="AE29" s="12" t="s">
        <v>425</v>
      </c>
      <c r="AG29" t="s">
        <v>962</v>
      </c>
      <c r="AH29" t="s">
        <v>461</v>
      </c>
      <c r="AI29" t="s">
        <v>963</v>
      </c>
    </row>
    <row r="30" spans="1:38" ht="15" customHeight="1" x14ac:dyDescent="0.3">
      <c r="A30" t="s">
        <v>616</v>
      </c>
      <c r="B30" t="s">
        <v>460</v>
      </c>
      <c r="C30" s="18" t="s">
        <v>214</v>
      </c>
      <c r="E30" t="s">
        <v>643</v>
      </c>
      <c r="F30" t="s">
        <v>461</v>
      </c>
      <c r="G30" s="18" t="s">
        <v>221</v>
      </c>
      <c r="I30" t="s">
        <v>704</v>
      </c>
      <c r="J30" t="s">
        <v>461</v>
      </c>
      <c r="K30" s="18" t="s">
        <v>263</v>
      </c>
      <c r="M30" t="s">
        <v>857</v>
      </c>
      <c r="N30" t="s">
        <v>458</v>
      </c>
      <c r="O30" s="18" t="s">
        <v>483</v>
      </c>
      <c r="Q30" t="s">
        <v>767</v>
      </c>
      <c r="R30" t="s">
        <v>461</v>
      </c>
      <c r="S30" s="18" t="s">
        <v>221</v>
      </c>
      <c r="U30" t="s">
        <v>145</v>
      </c>
      <c r="V30" t="s">
        <v>123</v>
      </c>
      <c r="AC30" s="1" t="s">
        <v>26</v>
      </c>
      <c r="AD30" t="s">
        <v>460</v>
      </c>
      <c r="AE30" s="12" t="s">
        <v>426</v>
      </c>
      <c r="AG30" t="s">
        <v>964</v>
      </c>
      <c r="AH30" t="s">
        <v>461</v>
      </c>
      <c r="AI30" t="s">
        <v>965</v>
      </c>
    </row>
    <row r="31" spans="1:38" ht="15" customHeight="1" x14ac:dyDescent="0.3">
      <c r="A31" t="s">
        <v>617</v>
      </c>
      <c r="B31" t="s">
        <v>460</v>
      </c>
      <c r="C31" s="18" t="s">
        <v>215</v>
      </c>
      <c r="E31" t="s">
        <v>644</v>
      </c>
      <c r="F31" t="s">
        <v>461</v>
      </c>
      <c r="G31" s="18" t="s">
        <v>226</v>
      </c>
      <c r="I31" t="s">
        <v>705</v>
      </c>
      <c r="J31" t="s">
        <v>461</v>
      </c>
      <c r="K31" s="18" t="s">
        <v>264</v>
      </c>
      <c r="M31" t="s">
        <v>858</v>
      </c>
      <c r="N31" t="s">
        <v>458</v>
      </c>
      <c r="O31" s="18" t="s">
        <v>483</v>
      </c>
      <c r="Q31" t="s">
        <v>768</v>
      </c>
      <c r="R31" t="s">
        <v>461</v>
      </c>
      <c r="S31" s="18" t="s">
        <v>221</v>
      </c>
      <c r="U31" t="s">
        <v>7</v>
      </c>
      <c r="V31" t="s">
        <v>124</v>
      </c>
      <c r="AC31" s="1" t="s">
        <v>820</v>
      </c>
      <c r="AD31" t="s">
        <v>461</v>
      </c>
      <c r="AE31" s="12" t="s">
        <v>427</v>
      </c>
      <c r="AG31" t="s">
        <v>966</v>
      </c>
      <c r="AH31" t="s">
        <v>461</v>
      </c>
      <c r="AI31" t="s">
        <v>967</v>
      </c>
    </row>
    <row r="32" spans="1:38" ht="15" customHeight="1" x14ac:dyDescent="0.3">
      <c r="A32" t="s">
        <v>618</v>
      </c>
      <c r="B32" t="s">
        <v>460</v>
      </c>
      <c r="C32" s="18" t="s">
        <v>216</v>
      </c>
      <c r="E32" t="s">
        <v>645</v>
      </c>
      <c r="F32" t="s">
        <v>461</v>
      </c>
      <c r="G32" s="18" t="s">
        <v>229</v>
      </c>
      <c r="I32" t="s">
        <v>706</v>
      </c>
      <c r="J32" t="s">
        <v>461</v>
      </c>
      <c r="K32" s="18" t="s">
        <v>265</v>
      </c>
      <c r="M32" t="s">
        <v>864</v>
      </c>
      <c r="N32" t="s">
        <v>460</v>
      </c>
      <c r="O32" s="18" t="s">
        <v>483</v>
      </c>
      <c r="Q32" t="s">
        <v>769</v>
      </c>
      <c r="R32" t="s">
        <v>461</v>
      </c>
      <c r="S32" s="18" t="s">
        <v>288</v>
      </c>
      <c r="U32" t="s">
        <v>146</v>
      </c>
      <c r="V32" t="s">
        <v>123</v>
      </c>
      <c r="AC32" s="1" t="s">
        <v>821</v>
      </c>
      <c r="AD32" t="s">
        <v>461</v>
      </c>
      <c r="AE32" s="12" t="s">
        <v>428</v>
      </c>
      <c r="AG32" t="s">
        <v>968</v>
      </c>
      <c r="AH32" t="s">
        <v>461</v>
      </c>
      <c r="AI32" t="s">
        <v>969</v>
      </c>
    </row>
    <row r="33" spans="1:35" ht="15" customHeight="1" x14ac:dyDescent="0.3">
      <c r="A33" t="s">
        <v>906</v>
      </c>
      <c r="B33" t="s">
        <v>460</v>
      </c>
      <c r="C33" s="18"/>
      <c r="E33" t="s">
        <v>646</v>
      </c>
      <c r="F33" t="s">
        <v>461</v>
      </c>
      <c r="G33" s="18" t="s">
        <v>221</v>
      </c>
      <c r="M33" t="s">
        <v>860</v>
      </c>
      <c r="N33" t="s">
        <v>460</v>
      </c>
      <c r="O33" s="18" t="s">
        <v>483</v>
      </c>
      <c r="Q33" t="s">
        <v>770</v>
      </c>
      <c r="R33" t="s">
        <v>461</v>
      </c>
      <c r="S33" s="18" t="s">
        <v>289</v>
      </c>
      <c r="U33" t="s">
        <v>147</v>
      </c>
      <c r="V33" t="s">
        <v>123</v>
      </c>
      <c r="AC33" s="1" t="s">
        <v>822</v>
      </c>
      <c r="AD33" t="s">
        <v>461</v>
      </c>
      <c r="AE33" s="12" t="s">
        <v>429</v>
      </c>
      <c r="AG33" t="s">
        <v>970</v>
      </c>
      <c r="AH33" t="s">
        <v>461</v>
      </c>
      <c r="AI33" t="s">
        <v>971</v>
      </c>
    </row>
    <row r="34" spans="1:35" ht="15" customHeight="1" x14ac:dyDescent="0.3">
      <c r="A34" t="s">
        <v>907</v>
      </c>
      <c r="B34" t="s">
        <v>460</v>
      </c>
      <c r="C34" s="18"/>
      <c r="E34" t="s">
        <v>647</v>
      </c>
      <c r="F34" t="s">
        <v>461</v>
      </c>
      <c r="G34" s="18" t="s">
        <v>226</v>
      </c>
      <c r="I34" t="s">
        <v>110</v>
      </c>
      <c r="J34" t="s">
        <v>109</v>
      </c>
      <c r="M34" t="s">
        <v>861</v>
      </c>
      <c r="N34" t="s">
        <v>460</v>
      </c>
      <c r="O34" s="18" t="s">
        <v>483</v>
      </c>
      <c r="Q34" t="s">
        <v>771</v>
      </c>
      <c r="R34" t="s">
        <v>461</v>
      </c>
      <c r="S34" s="18" t="s">
        <v>290</v>
      </c>
      <c r="U34" t="s">
        <v>148</v>
      </c>
      <c r="V34" t="s">
        <v>123</v>
      </c>
      <c r="AC34" s="1" t="s">
        <v>823</v>
      </c>
      <c r="AD34" t="s">
        <v>460</v>
      </c>
      <c r="AE34" s="12" t="s">
        <v>430</v>
      </c>
      <c r="AG34" t="s">
        <v>972</v>
      </c>
      <c r="AH34" t="s">
        <v>461</v>
      </c>
      <c r="AI34" t="s">
        <v>973</v>
      </c>
    </row>
    <row r="35" spans="1:35" ht="15" customHeight="1" x14ac:dyDescent="0.3">
      <c r="A35" t="s">
        <v>908</v>
      </c>
      <c r="B35" t="s">
        <v>460</v>
      </c>
      <c r="C35" s="18"/>
      <c r="E35" t="s">
        <v>648</v>
      </c>
      <c r="F35" t="s">
        <v>461</v>
      </c>
      <c r="G35" s="18" t="s">
        <v>229</v>
      </c>
      <c r="J35" t="s">
        <v>123</v>
      </c>
      <c r="M35" t="s">
        <v>900</v>
      </c>
      <c r="N35" t="s">
        <v>460</v>
      </c>
      <c r="O35" s="18" t="s">
        <v>483</v>
      </c>
      <c r="Q35" t="s">
        <v>772</v>
      </c>
      <c r="R35" t="s">
        <v>461</v>
      </c>
      <c r="S35" s="18" t="s">
        <v>246</v>
      </c>
      <c r="U35" t="s">
        <v>149</v>
      </c>
      <c r="V35" t="s">
        <v>123</v>
      </c>
      <c r="AC35" s="1" t="s">
        <v>824</v>
      </c>
      <c r="AD35" t="s">
        <v>460</v>
      </c>
      <c r="AE35" s="12" t="s">
        <v>431</v>
      </c>
      <c r="AG35" t="s">
        <v>974</v>
      </c>
      <c r="AH35" t="s">
        <v>461</v>
      </c>
      <c r="AI35" t="s">
        <v>975</v>
      </c>
    </row>
    <row r="36" spans="1:35" ht="15" customHeight="1" x14ac:dyDescent="0.3">
      <c r="A36" t="s">
        <v>909</v>
      </c>
      <c r="B36" t="s">
        <v>460</v>
      </c>
      <c r="C36" s="18"/>
      <c r="E36" t="s">
        <v>649</v>
      </c>
      <c r="F36" t="s">
        <v>461</v>
      </c>
      <c r="G36" s="18" t="s">
        <v>221</v>
      </c>
      <c r="I36" t="s">
        <v>69</v>
      </c>
      <c r="J36" t="s">
        <v>123</v>
      </c>
      <c r="M36" t="s">
        <v>856</v>
      </c>
      <c r="N36" t="s">
        <v>460</v>
      </c>
      <c r="O36" s="18" t="s">
        <v>484</v>
      </c>
      <c r="Q36" t="s">
        <v>773</v>
      </c>
      <c r="R36" t="s">
        <v>461</v>
      </c>
      <c r="S36" s="18" t="s">
        <v>245</v>
      </c>
      <c r="U36" t="s">
        <v>150</v>
      </c>
      <c r="V36" t="s">
        <v>123</v>
      </c>
      <c r="AC36" s="1" t="s">
        <v>825</v>
      </c>
      <c r="AD36" t="s">
        <v>460</v>
      </c>
      <c r="AE36" s="12" t="s">
        <v>432</v>
      </c>
      <c r="AG36" t="s">
        <v>976</v>
      </c>
      <c r="AH36" t="s">
        <v>461</v>
      </c>
      <c r="AI36" t="s">
        <v>977</v>
      </c>
    </row>
    <row r="37" spans="1:35" ht="15" customHeight="1" x14ac:dyDescent="0.3">
      <c r="A37" t="s">
        <v>619</v>
      </c>
      <c r="B37" t="s">
        <v>460</v>
      </c>
      <c r="C37" s="18" t="s">
        <v>462</v>
      </c>
      <c r="E37" t="s">
        <v>650</v>
      </c>
      <c r="F37" t="s">
        <v>461</v>
      </c>
      <c r="G37" s="18" t="s">
        <v>226</v>
      </c>
      <c r="I37" t="s">
        <v>111</v>
      </c>
      <c r="J37" t="s">
        <v>123</v>
      </c>
      <c r="M37" t="s">
        <v>273</v>
      </c>
      <c r="N37" t="s">
        <v>460</v>
      </c>
      <c r="O37" s="18" t="s">
        <v>485</v>
      </c>
      <c r="Q37" t="s">
        <v>774</v>
      </c>
      <c r="R37" t="s">
        <v>461</v>
      </c>
      <c r="S37" s="18" t="s">
        <v>291</v>
      </c>
      <c r="U37" t="s">
        <v>137</v>
      </c>
      <c r="V37" t="s">
        <v>123</v>
      </c>
      <c r="AC37" s="1" t="s">
        <v>826</v>
      </c>
      <c r="AD37" t="s">
        <v>461</v>
      </c>
      <c r="AE37" s="12" t="s">
        <v>433</v>
      </c>
      <c r="AG37" t="s">
        <v>978</v>
      </c>
      <c r="AH37" t="s">
        <v>461</v>
      </c>
      <c r="AI37" t="s">
        <v>979</v>
      </c>
    </row>
    <row r="38" spans="1:35" ht="15" customHeight="1" x14ac:dyDescent="0.3">
      <c r="E38" t="s">
        <v>651</v>
      </c>
      <c r="F38" t="s">
        <v>461</v>
      </c>
      <c r="G38" s="18" t="s">
        <v>231</v>
      </c>
      <c r="I38" t="s">
        <v>112</v>
      </c>
      <c r="J38" t="s">
        <v>123</v>
      </c>
      <c r="Q38" t="s">
        <v>775</v>
      </c>
      <c r="R38" t="s">
        <v>461</v>
      </c>
      <c r="S38" s="18" t="s">
        <v>292</v>
      </c>
      <c r="U38" t="s">
        <v>151</v>
      </c>
      <c r="V38" t="s">
        <v>123</v>
      </c>
      <c r="AC38" s="1" t="s">
        <v>827</v>
      </c>
      <c r="AD38" t="s">
        <v>460</v>
      </c>
      <c r="AE38" s="12" t="s">
        <v>434</v>
      </c>
      <c r="AG38" t="s">
        <v>980</v>
      </c>
      <c r="AH38" t="s">
        <v>461</v>
      </c>
      <c r="AI38" t="s">
        <v>981</v>
      </c>
    </row>
    <row r="39" spans="1:35" ht="15" customHeight="1" x14ac:dyDescent="0.3">
      <c r="A39" t="s">
        <v>110</v>
      </c>
      <c r="B39" t="s">
        <v>109</v>
      </c>
      <c r="E39" t="s">
        <v>652</v>
      </c>
      <c r="F39" t="s">
        <v>461</v>
      </c>
      <c r="G39" s="18" t="s">
        <v>229</v>
      </c>
      <c r="I39" t="s">
        <v>113</v>
      </c>
      <c r="J39" t="s">
        <v>123</v>
      </c>
      <c r="M39" t="s">
        <v>110</v>
      </c>
      <c r="N39" t="s">
        <v>109</v>
      </c>
      <c r="Q39" t="s">
        <v>776</v>
      </c>
      <c r="R39" t="s">
        <v>461</v>
      </c>
      <c r="S39" s="18" t="s">
        <v>293</v>
      </c>
      <c r="U39" t="s">
        <v>6</v>
      </c>
      <c r="V39" t="s">
        <v>123</v>
      </c>
      <c r="AC39" s="1" t="s">
        <v>27</v>
      </c>
      <c r="AD39" t="s">
        <v>460</v>
      </c>
      <c r="AE39" s="12" t="s">
        <v>435</v>
      </c>
      <c r="AG39" t="s">
        <v>982</v>
      </c>
      <c r="AH39" t="s">
        <v>461</v>
      </c>
      <c r="AI39" t="s">
        <v>983</v>
      </c>
    </row>
    <row r="40" spans="1:35" ht="15" customHeight="1" x14ac:dyDescent="0.3">
      <c r="B40" t="s">
        <v>123</v>
      </c>
      <c r="E40" t="s">
        <v>653</v>
      </c>
      <c r="F40" t="s">
        <v>461</v>
      </c>
      <c r="G40" s="18" t="s">
        <v>232</v>
      </c>
      <c r="I40" t="s">
        <v>114</v>
      </c>
      <c r="J40" t="s">
        <v>5</v>
      </c>
      <c r="N40" t="s">
        <v>158</v>
      </c>
      <c r="Q40" t="s">
        <v>777</v>
      </c>
      <c r="R40" t="s">
        <v>461</v>
      </c>
      <c r="S40" s="18" t="s">
        <v>294</v>
      </c>
      <c r="U40" t="s">
        <v>152</v>
      </c>
      <c r="V40" t="s">
        <v>123</v>
      </c>
      <c r="AC40" s="1" t="s">
        <v>828</v>
      </c>
      <c r="AD40" t="s">
        <v>461</v>
      </c>
      <c r="AE40" s="12" t="s">
        <v>436</v>
      </c>
      <c r="AG40" t="s">
        <v>984</v>
      </c>
      <c r="AH40" t="s">
        <v>461</v>
      </c>
      <c r="AI40" t="s">
        <v>985</v>
      </c>
    </row>
    <row r="41" spans="1:35" ht="15" customHeight="1" x14ac:dyDescent="0.3">
      <c r="A41" t="s">
        <v>134</v>
      </c>
      <c r="B41" t="s">
        <v>123</v>
      </c>
      <c r="E41" t="s">
        <v>654</v>
      </c>
      <c r="F41" t="s">
        <v>461</v>
      </c>
      <c r="G41" s="18" t="s">
        <v>229</v>
      </c>
      <c r="I41" t="s">
        <v>115</v>
      </c>
      <c r="J41" t="s">
        <v>123</v>
      </c>
      <c r="M41" t="s">
        <v>133</v>
      </c>
      <c r="N41" t="s">
        <v>158</v>
      </c>
      <c r="Q41" t="s">
        <v>778</v>
      </c>
      <c r="R41" t="s">
        <v>461</v>
      </c>
      <c r="S41" s="18" t="s">
        <v>295</v>
      </c>
      <c r="U41" t="s">
        <v>8</v>
      </c>
      <c r="V41" t="s">
        <v>123</v>
      </c>
      <c r="AC41" s="1" t="s">
        <v>829</v>
      </c>
      <c r="AD41" t="s">
        <v>460</v>
      </c>
      <c r="AE41" s="12" t="s">
        <v>437</v>
      </c>
      <c r="AG41" t="s">
        <v>986</v>
      </c>
      <c r="AH41" t="s">
        <v>461</v>
      </c>
      <c r="AI41" t="s">
        <v>987</v>
      </c>
    </row>
    <row r="42" spans="1:35" ht="15" customHeight="1" x14ac:dyDescent="0.3">
      <c r="A42" t="s">
        <v>135</v>
      </c>
      <c r="B42" t="s">
        <v>123</v>
      </c>
      <c r="E42" t="s">
        <v>655</v>
      </c>
      <c r="F42" t="s">
        <v>461</v>
      </c>
      <c r="G42" s="18" t="s">
        <v>221</v>
      </c>
      <c r="I42" t="s">
        <v>49</v>
      </c>
      <c r="J42" t="s">
        <v>123</v>
      </c>
      <c r="M42" t="s">
        <v>503</v>
      </c>
      <c r="N42" t="s">
        <v>158</v>
      </c>
      <c r="Q42" t="s">
        <v>779</v>
      </c>
      <c r="R42" t="s">
        <v>461</v>
      </c>
      <c r="S42" s="18" t="s">
        <v>221</v>
      </c>
      <c r="U42" t="s">
        <v>141</v>
      </c>
      <c r="V42" t="s">
        <v>123</v>
      </c>
      <c r="AC42" s="1" t="s">
        <v>28</v>
      </c>
      <c r="AD42" t="s">
        <v>460</v>
      </c>
      <c r="AE42" s="12" t="s">
        <v>438</v>
      </c>
      <c r="AG42" t="s">
        <v>988</v>
      </c>
      <c r="AH42" t="s">
        <v>461</v>
      </c>
      <c r="AI42" t="s">
        <v>989</v>
      </c>
    </row>
    <row r="43" spans="1:35" ht="15" customHeight="1" x14ac:dyDescent="0.3">
      <c r="A43" t="s">
        <v>136</v>
      </c>
      <c r="B43" t="s">
        <v>123</v>
      </c>
      <c r="E43" t="s">
        <v>656</v>
      </c>
      <c r="F43" t="s">
        <v>461</v>
      </c>
      <c r="G43" s="18" t="s">
        <v>226</v>
      </c>
      <c r="I43" t="s">
        <v>116</v>
      </c>
      <c r="J43" t="s">
        <v>123</v>
      </c>
      <c r="M43" t="s">
        <v>496</v>
      </c>
      <c r="N43" t="s">
        <v>158</v>
      </c>
      <c r="Q43" t="s">
        <v>780</v>
      </c>
      <c r="R43" t="s">
        <v>461</v>
      </c>
      <c r="S43" s="18" t="s">
        <v>296</v>
      </c>
      <c r="U43" t="s">
        <v>153</v>
      </c>
      <c r="V43" t="s">
        <v>123</v>
      </c>
      <c r="AC43" s="1" t="s">
        <v>29</v>
      </c>
      <c r="AD43" t="s">
        <v>460</v>
      </c>
      <c r="AE43" s="12" t="s">
        <v>439</v>
      </c>
      <c r="AG43" t="s">
        <v>990</v>
      </c>
      <c r="AH43" t="s">
        <v>461</v>
      </c>
      <c r="AI43" t="s">
        <v>991</v>
      </c>
    </row>
    <row r="44" spans="1:35" ht="15" customHeight="1" x14ac:dyDescent="0.3">
      <c r="A44" t="s">
        <v>137</v>
      </c>
      <c r="B44" t="s">
        <v>123</v>
      </c>
      <c r="E44" t="s">
        <v>657</v>
      </c>
      <c r="F44" t="s">
        <v>461</v>
      </c>
      <c r="G44" s="18" t="s">
        <v>228</v>
      </c>
      <c r="I44" t="s">
        <v>117</v>
      </c>
      <c r="J44" t="s">
        <v>123</v>
      </c>
      <c r="M44" t="s">
        <v>504</v>
      </c>
      <c r="N44" t="s">
        <v>158</v>
      </c>
      <c r="Q44" t="s">
        <v>781</v>
      </c>
      <c r="R44" t="s">
        <v>461</v>
      </c>
      <c r="S44" s="18" t="s">
        <v>200</v>
      </c>
      <c r="U44" t="s">
        <v>154</v>
      </c>
      <c r="V44" t="s">
        <v>123</v>
      </c>
      <c r="AC44" s="1" t="s">
        <v>830</v>
      </c>
      <c r="AD44" t="s">
        <v>460</v>
      </c>
      <c r="AE44" s="12" t="s">
        <v>440</v>
      </c>
      <c r="AG44" t="s">
        <v>992</v>
      </c>
      <c r="AH44" t="s">
        <v>461</v>
      </c>
      <c r="AI44" t="s">
        <v>993</v>
      </c>
    </row>
    <row r="45" spans="1:35" ht="15" customHeight="1" x14ac:dyDescent="0.3">
      <c r="A45" t="s">
        <v>138</v>
      </c>
      <c r="B45" t="s">
        <v>123</v>
      </c>
      <c r="E45" t="s">
        <v>658</v>
      </c>
      <c r="F45" t="s">
        <v>461</v>
      </c>
      <c r="G45" s="18" t="s">
        <v>233</v>
      </c>
      <c r="I45" t="s">
        <v>118</v>
      </c>
      <c r="J45" t="s">
        <v>123</v>
      </c>
      <c r="M45" t="s">
        <v>49</v>
      </c>
      <c r="N45" t="s">
        <v>158</v>
      </c>
      <c r="Q45" t="s">
        <v>757</v>
      </c>
      <c r="R45" t="s">
        <v>461</v>
      </c>
      <c r="S45" s="18" t="s">
        <v>297</v>
      </c>
      <c r="U45" t="s">
        <v>144</v>
      </c>
      <c r="V45" t="s">
        <v>123</v>
      </c>
      <c r="AC45" s="1" t="s">
        <v>831</v>
      </c>
      <c r="AD45" t="s">
        <v>461</v>
      </c>
      <c r="AE45" s="12" t="s">
        <v>441</v>
      </c>
      <c r="AG45" t="s">
        <v>994</v>
      </c>
      <c r="AH45" t="s">
        <v>461</v>
      </c>
      <c r="AI45" t="s">
        <v>995</v>
      </c>
    </row>
    <row r="46" spans="1:35" ht="15" customHeight="1" x14ac:dyDescent="0.3">
      <c r="A46" t="s">
        <v>139</v>
      </c>
      <c r="B46" t="s">
        <v>123</v>
      </c>
      <c r="E46" t="s">
        <v>659</v>
      </c>
      <c r="F46" t="s">
        <v>461</v>
      </c>
      <c r="G46" s="18" t="s">
        <v>229</v>
      </c>
      <c r="I46" t="s">
        <v>119</v>
      </c>
      <c r="J46" t="s">
        <v>123</v>
      </c>
      <c r="M46" t="s">
        <v>505</v>
      </c>
      <c r="N46" t="s">
        <v>158</v>
      </c>
      <c r="Q46" t="s">
        <v>756</v>
      </c>
      <c r="R46" t="s">
        <v>461</v>
      </c>
      <c r="S46" s="18" t="s">
        <v>297</v>
      </c>
      <c r="U46" t="s">
        <v>155</v>
      </c>
      <c r="V46" t="s">
        <v>123</v>
      </c>
      <c r="AC46" s="1" t="s">
        <v>912</v>
      </c>
      <c r="AD46" s="11" t="s">
        <v>461</v>
      </c>
      <c r="AE46" s="12" t="s">
        <v>441</v>
      </c>
      <c r="AG46" t="s">
        <v>996</v>
      </c>
      <c r="AH46" t="s">
        <v>461</v>
      </c>
      <c r="AI46" t="s">
        <v>997</v>
      </c>
    </row>
    <row r="47" spans="1:35" ht="15" customHeight="1" x14ac:dyDescent="0.3">
      <c r="A47" t="s">
        <v>6</v>
      </c>
      <c r="B47" t="s">
        <v>123</v>
      </c>
      <c r="E47" t="s">
        <v>660</v>
      </c>
      <c r="F47" t="s">
        <v>461</v>
      </c>
      <c r="G47" s="18" t="s">
        <v>221</v>
      </c>
      <c r="I47" t="s">
        <v>120</v>
      </c>
      <c r="J47" t="s">
        <v>123</v>
      </c>
      <c r="M47" t="s">
        <v>506</v>
      </c>
      <c r="N47" t="s">
        <v>158</v>
      </c>
      <c r="Q47" t="s">
        <v>755</v>
      </c>
      <c r="R47" t="s">
        <v>461</v>
      </c>
      <c r="S47" s="18" t="s">
        <v>298</v>
      </c>
      <c r="U47" t="s">
        <v>156</v>
      </c>
      <c r="V47" t="s">
        <v>123</v>
      </c>
      <c r="AC47" s="1" t="s">
        <v>832</v>
      </c>
      <c r="AD47" t="s">
        <v>460</v>
      </c>
      <c r="AE47" s="12" t="s">
        <v>442</v>
      </c>
      <c r="AG47" t="s">
        <v>998</v>
      </c>
      <c r="AH47" t="s">
        <v>461</v>
      </c>
      <c r="AI47" t="s">
        <v>999</v>
      </c>
    </row>
    <row r="48" spans="1:35" ht="15" customHeight="1" x14ac:dyDescent="0.3">
      <c r="A48" t="s">
        <v>140</v>
      </c>
      <c r="B48" t="s">
        <v>123</v>
      </c>
      <c r="E48" t="s">
        <v>661</v>
      </c>
      <c r="F48" t="s">
        <v>461</v>
      </c>
      <c r="G48" s="18" t="s">
        <v>226</v>
      </c>
      <c r="I48" t="s">
        <v>121</v>
      </c>
      <c r="J48" t="s">
        <v>123</v>
      </c>
      <c r="M48" t="s">
        <v>507</v>
      </c>
      <c r="N48" t="s">
        <v>158</v>
      </c>
      <c r="Q48" t="s">
        <v>754</v>
      </c>
      <c r="R48" t="s">
        <v>461</v>
      </c>
      <c r="S48" s="18" t="s">
        <v>299</v>
      </c>
      <c r="U48" t="s">
        <v>157</v>
      </c>
      <c r="V48" t="s">
        <v>123</v>
      </c>
      <c r="AC48" s="1" t="s">
        <v>833</v>
      </c>
      <c r="AD48" t="s">
        <v>460</v>
      </c>
      <c r="AE48" s="12" t="s">
        <v>443</v>
      </c>
      <c r="AG48" t="s">
        <v>1000</v>
      </c>
      <c r="AH48" t="s">
        <v>461</v>
      </c>
      <c r="AI48" t="s">
        <v>1001</v>
      </c>
    </row>
    <row r="49" spans="1:35" ht="15" customHeight="1" x14ac:dyDescent="0.3">
      <c r="A49" t="s">
        <v>141</v>
      </c>
      <c r="B49" t="s">
        <v>123</v>
      </c>
      <c r="E49" t="s">
        <v>662</v>
      </c>
      <c r="F49" t="s">
        <v>461</v>
      </c>
      <c r="G49" s="18" t="s">
        <v>229</v>
      </c>
      <c r="I49" t="s">
        <v>122</v>
      </c>
      <c r="J49" t="s">
        <v>123</v>
      </c>
      <c r="M49" t="s">
        <v>111</v>
      </c>
      <c r="N49" t="s">
        <v>158</v>
      </c>
      <c r="Q49" t="s">
        <v>753</v>
      </c>
      <c r="R49" t="s">
        <v>461</v>
      </c>
      <c r="S49" s="18" t="s">
        <v>300</v>
      </c>
      <c r="U49" t="s">
        <v>492</v>
      </c>
      <c r="V49" t="s">
        <v>492</v>
      </c>
      <c r="AC49" s="1" t="s">
        <v>834</v>
      </c>
      <c r="AD49" t="s">
        <v>460</v>
      </c>
      <c r="AE49" s="12" t="s">
        <v>444</v>
      </c>
      <c r="AG49" t="s">
        <v>1002</v>
      </c>
      <c r="AH49" t="s">
        <v>461</v>
      </c>
      <c r="AI49" t="s">
        <v>1003</v>
      </c>
    </row>
    <row r="50" spans="1:35" ht="15" customHeight="1" x14ac:dyDescent="0.3">
      <c r="A50" t="s">
        <v>142</v>
      </c>
      <c r="B50" t="s">
        <v>123</v>
      </c>
      <c r="E50" t="s">
        <v>663</v>
      </c>
      <c r="F50" t="s">
        <v>461</v>
      </c>
      <c r="G50" s="18" t="s">
        <v>228</v>
      </c>
      <c r="I50" t="s">
        <v>492</v>
      </c>
      <c r="J50" t="s">
        <v>492</v>
      </c>
      <c r="M50" t="s">
        <v>508</v>
      </c>
      <c r="N50" t="s">
        <v>158</v>
      </c>
      <c r="Q50" t="s">
        <v>752</v>
      </c>
      <c r="R50" t="s">
        <v>461</v>
      </c>
      <c r="S50" s="18" t="s">
        <v>301</v>
      </c>
      <c r="U50" t="s">
        <v>493</v>
      </c>
      <c r="V50" t="s">
        <v>493</v>
      </c>
      <c r="AC50" s="1" t="s">
        <v>835</v>
      </c>
      <c r="AD50" t="s">
        <v>460</v>
      </c>
      <c r="AE50" s="12" t="s">
        <v>444</v>
      </c>
      <c r="AG50" t="s">
        <v>1004</v>
      </c>
      <c r="AH50" t="s">
        <v>461</v>
      </c>
      <c r="AI50" t="s">
        <v>1005</v>
      </c>
    </row>
    <row r="51" spans="1:35" ht="15" customHeight="1" x14ac:dyDescent="0.3">
      <c r="A51" t="s">
        <v>143</v>
      </c>
      <c r="B51" t="s">
        <v>123</v>
      </c>
      <c r="E51" t="s">
        <v>664</v>
      </c>
      <c r="F51" t="s">
        <v>461</v>
      </c>
      <c r="G51" s="18" t="s">
        <v>225</v>
      </c>
      <c r="I51" t="s">
        <v>493</v>
      </c>
      <c r="J51" t="s">
        <v>493</v>
      </c>
      <c r="M51" t="s">
        <v>509</v>
      </c>
      <c r="N51" t="s">
        <v>158</v>
      </c>
      <c r="Q51" t="s">
        <v>751</v>
      </c>
      <c r="R51" t="s">
        <v>461</v>
      </c>
      <c r="S51" s="18" t="s">
        <v>229</v>
      </c>
      <c r="U51" t="s">
        <v>494</v>
      </c>
      <c r="V51" t="s">
        <v>494</v>
      </c>
      <c r="AC51" s="1" t="s">
        <v>836</v>
      </c>
      <c r="AD51" t="s">
        <v>460</v>
      </c>
      <c r="AE51" s="12" t="s">
        <v>445</v>
      </c>
      <c r="AG51" t="s">
        <v>1006</v>
      </c>
      <c r="AH51" t="s">
        <v>461</v>
      </c>
      <c r="AI51" t="s">
        <v>1007</v>
      </c>
    </row>
    <row r="52" spans="1:35" ht="15" customHeight="1" x14ac:dyDescent="0.3">
      <c r="A52" t="s">
        <v>9</v>
      </c>
      <c r="B52" t="s">
        <v>123</v>
      </c>
      <c r="E52" t="s">
        <v>665</v>
      </c>
      <c r="F52" t="s">
        <v>461</v>
      </c>
      <c r="G52" s="18" t="s">
        <v>234</v>
      </c>
      <c r="I52" t="s">
        <v>494</v>
      </c>
      <c r="J52" t="s">
        <v>494</v>
      </c>
      <c r="M52" t="s">
        <v>116</v>
      </c>
      <c r="N52" t="s">
        <v>158</v>
      </c>
      <c r="Q52" t="s">
        <v>750</v>
      </c>
      <c r="R52" t="s">
        <v>461</v>
      </c>
      <c r="S52" s="18" t="s">
        <v>297</v>
      </c>
      <c r="U52" t="s">
        <v>114</v>
      </c>
      <c r="V52" t="s">
        <v>114</v>
      </c>
      <c r="AC52" s="1" t="s">
        <v>837</v>
      </c>
      <c r="AD52" t="s">
        <v>460</v>
      </c>
      <c r="AE52" s="12" t="s">
        <v>446</v>
      </c>
      <c r="AG52" t="s">
        <v>1008</v>
      </c>
      <c r="AH52" t="s">
        <v>461</v>
      </c>
      <c r="AI52" t="s">
        <v>1009</v>
      </c>
    </row>
    <row r="53" spans="1:35" ht="15" customHeight="1" x14ac:dyDescent="0.3">
      <c r="A53" t="s">
        <v>144</v>
      </c>
      <c r="B53" t="s">
        <v>123</v>
      </c>
      <c r="E53" t="s">
        <v>666</v>
      </c>
      <c r="F53" t="s">
        <v>461</v>
      </c>
      <c r="G53" s="18" t="s">
        <v>226</v>
      </c>
      <c r="I53" t="s">
        <v>155</v>
      </c>
      <c r="J53" t="s">
        <v>155</v>
      </c>
      <c r="M53" t="s">
        <v>510</v>
      </c>
      <c r="N53" t="s">
        <v>158</v>
      </c>
      <c r="Q53" t="s">
        <v>749</v>
      </c>
      <c r="R53" t="s">
        <v>461</v>
      </c>
      <c r="S53" s="18" t="s">
        <v>229</v>
      </c>
      <c r="U53" t="s">
        <v>113</v>
      </c>
      <c r="V53" t="s">
        <v>113</v>
      </c>
      <c r="AC53" s="1" t="s">
        <v>30</v>
      </c>
      <c r="AD53" t="s">
        <v>460</v>
      </c>
      <c r="AE53" s="12" t="s">
        <v>447</v>
      </c>
      <c r="AG53" t="s">
        <v>1010</v>
      </c>
      <c r="AH53" t="s">
        <v>461</v>
      </c>
      <c r="AI53" t="s">
        <v>1011</v>
      </c>
    </row>
    <row r="54" spans="1:35" ht="15" customHeight="1" x14ac:dyDescent="0.3">
      <c r="A54" t="s">
        <v>385</v>
      </c>
      <c r="B54" t="s">
        <v>385</v>
      </c>
      <c r="E54" t="s">
        <v>667</v>
      </c>
      <c r="F54" t="s">
        <v>461</v>
      </c>
      <c r="G54" s="18" t="s">
        <v>235</v>
      </c>
      <c r="I54" t="s">
        <v>495</v>
      </c>
      <c r="J54" t="s">
        <v>495</v>
      </c>
      <c r="M54" t="s">
        <v>502</v>
      </c>
      <c r="N54" t="s">
        <v>158</v>
      </c>
      <c r="Q54" t="s">
        <v>748</v>
      </c>
      <c r="R54" t="s">
        <v>461</v>
      </c>
      <c r="S54" s="18" t="s">
        <v>221</v>
      </c>
      <c r="U54" t="s">
        <v>529</v>
      </c>
      <c r="V54" t="s">
        <v>123</v>
      </c>
      <c r="AC54" s="1" t="s">
        <v>838</v>
      </c>
      <c r="AD54" t="s">
        <v>460</v>
      </c>
      <c r="AE54" s="12" t="s">
        <v>448</v>
      </c>
      <c r="AG54" t="s">
        <v>1012</v>
      </c>
      <c r="AH54" t="s">
        <v>461</v>
      </c>
      <c r="AI54" t="s">
        <v>1013</v>
      </c>
    </row>
    <row r="55" spans="1:35" ht="15" customHeight="1" x14ac:dyDescent="0.3">
      <c r="A55" t="s">
        <v>155</v>
      </c>
      <c r="B55" t="s">
        <v>155</v>
      </c>
      <c r="E55" t="s">
        <v>668</v>
      </c>
      <c r="F55" t="s">
        <v>461</v>
      </c>
      <c r="G55" s="18" t="s">
        <v>229</v>
      </c>
      <c r="I55" t="s">
        <v>496</v>
      </c>
      <c r="J55" t="s">
        <v>496</v>
      </c>
      <c r="M55" t="s">
        <v>511</v>
      </c>
      <c r="N55" t="s">
        <v>158</v>
      </c>
      <c r="Q55" t="s">
        <v>747</v>
      </c>
      <c r="R55" t="s">
        <v>461</v>
      </c>
      <c r="S55" s="18" t="s">
        <v>221</v>
      </c>
      <c r="U55" t="s">
        <v>495</v>
      </c>
      <c r="V55" t="s">
        <v>495</v>
      </c>
      <c r="AC55" s="1" t="s">
        <v>914</v>
      </c>
      <c r="AD55" s="11" t="s">
        <v>460</v>
      </c>
      <c r="AE55" s="12"/>
      <c r="AG55" t="s">
        <v>1014</v>
      </c>
      <c r="AH55" t="s">
        <v>461</v>
      </c>
      <c r="AI55" t="s">
        <v>1015</v>
      </c>
    </row>
    <row r="56" spans="1:35" ht="15" customHeight="1" x14ac:dyDescent="0.3">
      <c r="A56" t="s">
        <v>5</v>
      </c>
      <c r="B56" t="s">
        <v>5</v>
      </c>
      <c r="E56" t="s">
        <v>669</v>
      </c>
      <c r="F56" t="s">
        <v>461</v>
      </c>
      <c r="G56" s="18" t="s">
        <v>221</v>
      </c>
      <c r="I56" t="s">
        <v>497</v>
      </c>
      <c r="J56" t="s">
        <v>497</v>
      </c>
      <c r="M56" t="s">
        <v>512</v>
      </c>
      <c r="N56" t="s">
        <v>158</v>
      </c>
      <c r="Q56" t="s">
        <v>746</v>
      </c>
      <c r="R56" t="s">
        <v>461</v>
      </c>
      <c r="S56" s="18" t="s">
        <v>221</v>
      </c>
      <c r="U56" t="s">
        <v>530</v>
      </c>
      <c r="V56" t="s">
        <v>123</v>
      </c>
      <c r="AC56" s="1" t="s">
        <v>839</v>
      </c>
      <c r="AD56" t="s">
        <v>460</v>
      </c>
      <c r="AE56" s="12" t="s">
        <v>449</v>
      </c>
      <c r="AG56" t="s">
        <v>1016</v>
      </c>
      <c r="AH56" t="s">
        <v>461</v>
      </c>
      <c r="AI56" t="s">
        <v>1017</v>
      </c>
    </row>
    <row r="57" spans="1:35" ht="15" customHeight="1" x14ac:dyDescent="0.3">
      <c r="A57" t="s">
        <v>388</v>
      </c>
      <c r="B57" t="s">
        <v>388</v>
      </c>
      <c r="E57" t="s">
        <v>670</v>
      </c>
      <c r="F57" t="s">
        <v>461</v>
      </c>
      <c r="G57" s="18" t="s">
        <v>226</v>
      </c>
      <c r="I57" t="s">
        <v>498</v>
      </c>
      <c r="J57" t="s">
        <v>498</v>
      </c>
      <c r="M57" t="s">
        <v>114</v>
      </c>
      <c r="N57" t="s">
        <v>158</v>
      </c>
      <c r="Q57" t="s">
        <v>745</v>
      </c>
      <c r="R57" t="s">
        <v>461</v>
      </c>
      <c r="S57" s="18" t="s">
        <v>221</v>
      </c>
      <c r="U57" t="s">
        <v>111</v>
      </c>
      <c r="V57" t="s">
        <v>111</v>
      </c>
      <c r="AC57" s="1" t="s">
        <v>840</v>
      </c>
      <c r="AD57" t="s">
        <v>461</v>
      </c>
      <c r="AE57" s="12" t="s">
        <v>450</v>
      </c>
      <c r="AG57" t="s">
        <v>1018</v>
      </c>
      <c r="AH57" t="s">
        <v>461</v>
      </c>
      <c r="AI57" t="s">
        <v>1019</v>
      </c>
    </row>
    <row r="58" spans="1:35" ht="15" customHeight="1" x14ac:dyDescent="0.3">
      <c r="A58" t="s">
        <v>391</v>
      </c>
      <c r="B58" t="s">
        <v>391</v>
      </c>
      <c r="E58" t="s">
        <v>671</v>
      </c>
      <c r="F58" t="s">
        <v>461</v>
      </c>
      <c r="G58" s="18" t="s">
        <v>229</v>
      </c>
      <c r="I58" t="s">
        <v>129</v>
      </c>
      <c r="J58" t="s">
        <v>129</v>
      </c>
      <c r="M58" t="s">
        <v>113</v>
      </c>
      <c r="N58" t="s">
        <v>158</v>
      </c>
      <c r="Q58" t="s">
        <v>744</v>
      </c>
      <c r="R58" t="s">
        <v>461</v>
      </c>
      <c r="S58" s="18" t="s">
        <v>229</v>
      </c>
      <c r="U58" t="s">
        <v>497</v>
      </c>
      <c r="V58" t="s">
        <v>497</v>
      </c>
      <c r="AC58" s="1" t="s">
        <v>841</v>
      </c>
      <c r="AD58" t="s">
        <v>461</v>
      </c>
      <c r="AE58" s="12" t="s">
        <v>451</v>
      </c>
      <c r="AG58" t="s">
        <v>1020</v>
      </c>
      <c r="AH58" t="s">
        <v>461</v>
      </c>
      <c r="AI58" t="s">
        <v>1021</v>
      </c>
    </row>
    <row r="59" spans="1:35" ht="15" customHeight="1" x14ac:dyDescent="0.3">
      <c r="A59" t="s">
        <v>519</v>
      </c>
      <c r="B59" t="s">
        <v>519</v>
      </c>
      <c r="E59" t="s">
        <v>672</v>
      </c>
      <c r="F59" t="s">
        <v>461</v>
      </c>
      <c r="G59" s="18" t="s">
        <v>221</v>
      </c>
      <c r="I59" t="s">
        <v>499</v>
      </c>
      <c r="J59" t="s">
        <v>499</v>
      </c>
      <c r="M59" t="s">
        <v>497</v>
      </c>
      <c r="N59" t="s">
        <v>158</v>
      </c>
      <c r="Q59" t="s">
        <v>743</v>
      </c>
      <c r="R59" t="s">
        <v>461</v>
      </c>
      <c r="S59" s="18" t="s">
        <v>229</v>
      </c>
      <c r="U59" t="s">
        <v>516</v>
      </c>
      <c r="V59" t="s">
        <v>123</v>
      </c>
      <c r="AC59" s="1" t="s">
        <v>31</v>
      </c>
      <c r="AD59" t="s">
        <v>460</v>
      </c>
      <c r="AE59" s="12" t="s">
        <v>452</v>
      </c>
      <c r="AG59" t="s">
        <v>1022</v>
      </c>
      <c r="AH59" t="s">
        <v>461</v>
      </c>
      <c r="AI59" t="s">
        <v>1023</v>
      </c>
    </row>
    <row r="60" spans="1:35" ht="15" customHeight="1" x14ac:dyDescent="0.3">
      <c r="A60" t="s">
        <v>910</v>
      </c>
      <c r="B60" t="s">
        <v>123</v>
      </c>
      <c r="E60" t="s">
        <v>673</v>
      </c>
      <c r="F60" t="s">
        <v>461</v>
      </c>
      <c r="G60" s="18" t="s">
        <v>236</v>
      </c>
      <c r="M60" t="s">
        <v>513</v>
      </c>
      <c r="N60" t="s">
        <v>158</v>
      </c>
      <c r="Q60" t="s">
        <v>742</v>
      </c>
      <c r="R60" t="s">
        <v>461</v>
      </c>
      <c r="S60" s="18" t="s">
        <v>302</v>
      </c>
      <c r="U60" t="s">
        <v>531</v>
      </c>
      <c r="V60" t="s">
        <v>123</v>
      </c>
      <c r="AC60" s="1" t="s">
        <v>32</v>
      </c>
      <c r="AD60" t="s">
        <v>460</v>
      </c>
      <c r="AE60" s="12" t="s">
        <v>453</v>
      </c>
      <c r="AG60" t="s">
        <v>1024</v>
      </c>
      <c r="AH60" t="s">
        <v>461</v>
      </c>
      <c r="AI60" t="s">
        <v>1025</v>
      </c>
    </row>
    <row r="61" spans="1:35" ht="15" customHeight="1" x14ac:dyDescent="0.3">
      <c r="A61" t="s">
        <v>120</v>
      </c>
      <c r="B61" t="s">
        <v>123</v>
      </c>
      <c r="E61" t="s">
        <v>674</v>
      </c>
      <c r="F61" t="s">
        <v>461</v>
      </c>
      <c r="G61" s="18" t="s">
        <v>237</v>
      </c>
      <c r="M61" t="s">
        <v>118</v>
      </c>
      <c r="N61" t="s">
        <v>158</v>
      </c>
      <c r="Q61" t="s">
        <v>741</v>
      </c>
      <c r="R61" t="s">
        <v>461</v>
      </c>
      <c r="S61" s="18" t="s">
        <v>229</v>
      </c>
      <c r="U61" t="s">
        <v>498</v>
      </c>
      <c r="V61" t="s">
        <v>498</v>
      </c>
      <c r="AC61" s="1" t="s">
        <v>33</v>
      </c>
      <c r="AD61" t="s">
        <v>460</v>
      </c>
      <c r="AE61" s="12" t="s">
        <v>454</v>
      </c>
      <c r="AG61" t="s">
        <v>1026</v>
      </c>
      <c r="AH61" t="s">
        <v>461</v>
      </c>
      <c r="AI61" t="s">
        <v>1027</v>
      </c>
    </row>
    <row r="62" spans="1:35" ht="15" customHeight="1" x14ac:dyDescent="0.3">
      <c r="E62" t="s">
        <v>675</v>
      </c>
      <c r="F62" t="s">
        <v>461</v>
      </c>
      <c r="G62" s="18" t="s">
        <v>238</v>
      </c>
      <c r="M62" t="s">
        <v>122</v>
      </c>
      <c r="N62" t="s">
        <v>158</v>
      </c>
      <c r="Q62" t="s">
        <v>740</v>
      </c>
      <c r="R62" t="s">
        <v>461</v>
      </c>
      <c r="S62" s="18" t="s">
        <v>229</v>
      </c>
      <c r="U62" t="s">
        <v>116</v>
      </c>
      <c r="V62" t="s">
        <v>116</v>
      </c>
      <c r="AC62" s="1" t="s">
        <v>34</v>
      </c>
      <c r="AD62" t="s">
        <v>461</v>
      </c>
      <c r="AE62" s="12" t="s">
        <v>455</v>
      </c>
      <c r="AG62" t="s">
        <v>1028</v>
      </c>
      <c r="AH62" t="s">
        <v>461</v>
      </c>
      <c r="AI62" t="s">
        <v>1029</v>
      </c>
    </row>
    <row r="63" spans="1:35" ht="15" customHeight="1" x14ac:dyDescent="0.3">
      <c r="E63" t="s">
        <v>676</v>
      </c>
      <c r="F63" t="s">
        <v>461</v>
      </c>
      <c r="G63" s="18" t="s">
        <v>229</v>
      </c>
      <c r="M63" t="s">
        <v>495</v>
      </c>
      <c r="N63" t="s">
        <v>158</v>
      </c>
      <c r="Q63" t="s">
        <v>739</v>
      </c>
      <c r="R63" t="s">
        <v>461</v>
      </c>
      <c r="S63" s="18" t="s">
        <v>229</v>
      </c>
      <c r="U63" t="s">
        <v>513</v>
      </c>
      <c r="V63" t="s">
        <v>123</v>
      </c>
      <c r="AC63" s="1" t="s">
        <v>35</v>
      </c>
      <c r="AD63" t="s">
        <v>461</v>
      </c>
      <c r="AE63" s="12" t="s">
        <v>456</v>
      </c>
      <c r="AG63" t="s">
        <v>1030</v>
      </c>
      <c r="AH63" t="s">
        <v>461</v>
      </c>
      <c r="AI63" t="s">
        <v>1031</v>
      </c>
    </row>
    <row r="64" spans="1:35" ht="15" customHeight="1" x14ac:dyDescent="0.3">
      <c r="E64" t="s">
        <v>677</v>
      </c>
      <c r="F64" t="s">
        <v>461</v>
      </c>
      <c r="G64" s="18" t="s">
        <v>221</v>
      </c>
      <c r="M64" t="s">
        <v>514</v>
      </c>
      <c r="N64" t="s">
        <v>158</v>
      </c>
      <c r="Q64" t="s">
        <v>738</v>
      </c>
      <c r="R64" t="s">
        <v>461</v>
      </c>
      <c r="S64" s="18" t="s">
        <v>229</v>
      </c>
      <c r="U64" t="s">
        <v>532</v>
      </c>
      <c r="V64" t="s">
        <v>123</v>
      </c>
      <c r="AC64" s="1" t="s">
        <v>913</v>
      </c>
      <c r="AD64" s="11" t="s">
        <v>460</v>
      </c>
      <c r="AE64" s="12"/>
      <c r="AG64" t="s">
        <v>1032</v>
      </c>
      <c r="AH64" t="s">
        <v>461</v>
      </c>
      <c r="AI64" t="s">
        <v>1033</v>
      </c>
    </row>
    <row r="65" spans="5:35" ht="15" customHeight="1" x14ac:dyDescent="0.3">
      <c r="E65" t="s">
        <v>678</v>
      </c>
      <c r="F65" t="s">
        <v>461</v>
      </c>
      <c r="G65" s="18" t="s">
        <v>239</v>
      </c>
      <c r="M65" t="s">
        <v>515</v>
      </c>
      <c r="N65" t="s">
        <v>158</v>
      </c>
      <c r="Q65" t="s">
        <v>737</v>
      </c>
      <c r="R65" t="s">
        <v>461</v>
      </c>
      <c r="S65" s="18" t="s">
        <v>229</v>
      </c>
      <c r="U65" t="s">
        <v>496</v>
      </c>
      <c r="V65" t="s">
        <v>496</v>
      </c>
      <c r="AC65" s="1" t="s">
        <v>36</v>
      </c>
      <c r="AD65" t="s">
        <v>460</v>
      </c>
      <c r="AE65" s="12" t="s">
        <v>457</v>
      </c>
      <c r="AG65" t="s">
        <v>1034</v>
      </c>
      <c r="AH65" t="s">
        <v>461</v>
      </c>
      <c r="AI65" t="s">
        <v>1035</v>
      </c>
    </row>
    <row r="66" spans="5:35" ht="15" customHeight="1" x14ac:dyDescent="0.3">
      <c r="E66" t="s">
        <v>679</v>
      </c>
      <c r="F66" t="s">
        <v>461</v>
      </c>
      <c r="G66" s="18" t="s">
        <v>240</v>
      </c>
      <c r="M66" t="s">
        <v>516</v>
      </c>
      <c r="N66" t="s">
        <v>158</v>
      </c>
      <c r="Q66" t="s">
        <v>736</v>
      </c>
      <c r="R66" t="s">
        <v>461</v>
      </c>
      <c r="S66" s="18" t="s">
        <v>229</v>
      </c>
      <c r="U66" t="s">
        <v>514</v>
      </c>
      <c r="V66" t="s">
        <v>123</v>
      </c>
      <c r="AC66" s="1" t="s">
        <v>1430</v>
      </c>
      <c r="AD66" s="11" t="s">
        <v>461</v>
      </c>
      <c r="AE66" s="12"/>
      <c r="AG66" t="s">
        <v>1036</v>
      </c>
      <c r="AH66" t="s">
        <v>461</v>
      </c>
      <c r="AI66" t="s">
        <v>1037</v>
      </c>
    </row>
    <row r="67" spans="5:35" ht="15" customHeight="1" x14ac:dyDescent="0.3">
      <c r="E67" t="s">
        <v>680</v>
      </c>
      <c r="F67" t="s">
        <v>461</v>
      </c>
      <c r="G67" s="18" t="s">
        <v>241</v>
      </c>
      <c r="M67" t="s">
        <v>517</v>
      </c>
      <c r="N67" t="s">
        <v>158</v>
      </c>
      <c r="Q67" t="s">
        <v>735</v>
      </c>
      <c r="R67" t="s">
        <v>461</v>
      </c>
      <c r="S67" s="18" t="s">
        <v>229</v>
      </c>
      <c r="U67" t="s">
        <v>533</v>
      </c>
      <c r="V67" t="s">
        <v>123</v>
      </c>
      <c r="AC67" s="1" t="s">
        <v>1431</v>
      </c>
      <c r="AD67" s="11" t="s">
        <v>461</v>
      </c>
      <c r="AE67" s="12"/>
      <c r="AG67" t="s">
        <v>1038</v>
      </c>
      <c r="AH67" t="s">
        <v>461</v>
      </c>
      <c r="AI67" t="s">
        <v>1039</v>
      </c>
    </row>
    <row r="68" spans="5:35" ht="15" customHeight="1" x14ac:dyDescent="0.3">
      <c r="M68" t="s">
        <v>498</v>
      </c>
      <c r="N68" t="s">
        <v>158</v>
      </c>
      <c r="Q68" t="s">
        <v>734</v>
      </c>
      <c r="R68" t="s">
        <v>461</v>
      </c>
      <c r="S68" s="18" t="s">
        <v>229</v>
      </c>
      <c r="AC68" s="1" t="s">
        <v>1432</v>
      </c>
      <c r="AD68" s="11" t="s">
        <v>461</v>
      </c>
      <c r="AE68" s="12"/>
      <c r="AG68" t="s">
        <v>1040</v>
      </c>
      <c r="AH68" t="s">
        <v>461</v>
      </c>
      <c r="AI68" t="s">
        <v>1041</v>
      </c>
    </row>
    <row r="69" spans="5:35" ht="15" customHeight="1" x14ac:dyDescent="0.3">
      <c r="E69" t="s">
        <v>110</v>
      </c>
      <c r="F69" t="s">
        <v>109</v>
      </c>
      <c r="M69" t="s">
        <v>518</v>
      </c>
      <c r="N69" t="s">
        <v>158</v>
      </c>
      <c r="Q69" t="s">
        <v>733</v>
      </c>
      <c r="R69" t="s">
        <v>461</v>
      </c>
      <c r="S69" s="18" t="s">
        <v>303</v>
      </c>
      <c r="AC69" s="1" t="s">
        <v>1433</v>
      </c>
      <c r="AD69" s="11" t="s">
        <v>461</v>
      </c>
      <c r="AE69" s="12"/>
      <c r="AG69" t="s">
        <v>1042</v>
      </c>
      <c r="AH69" t="s">
        <v>461</v>
      </c>
      <c r="AI69" t="s">
        <v>1043</v>
      </c>
    </row>
    <row r="70" spans="5:35" ht="15" customHeight="1" x14ac:dyDescent="0.3">
      <c r="F70" t="s">
        <v>123</v>
      </c>
      <c r="Q70" t="s">
        <v>732</v>
      </c>
      <c r="R70" t="s">
        <v>461</v>
      </c>
      <c r="S70" s="18" t="s">
        <v>304</v>
      </c>
      <c r="AC70" s="1" t="s">
        <v>1434</v>
      </c>
      <c r="AD70" s="11" t="s">
        <v>461</v>
      </c>
      <c r="AE70" s="12"/>
      <c r="AG70" t="s">
        <v>1044</v>
      </c>
      <c r="AH70" t="s">
        <v>461</v>
      </c>
      <c r="AI70" t="s">
        <v>1045</v>
      </c>
    </row>
    <row r="71" spans="5:35" ht="15" customHeight="1" x14ac:dyDescent="0.3">
      <c r="E71" t="s">
        <v>133</v>
      </c>
      <c r="F71" t="s">
        <v>123</v>
      </c>
      <c r="M71" t="s">
        <v>186</v>
      </c>
      <c r="Q71" t="s">
        <v>731</v>
      </c>
      <c r="R71" t="s">
        <v>461</v>
      </c>
      <c r="S71" s="18" t="s">
        <v>305</v>
      </c>
      <c r="AC71" s="1" t="s">
        <v>1435</v>
      </c>
      <c r="AD71" s="11" t="s">
        <v>461</v>
      </c>
      <c r="AE71" s="12"/>
      <c r="AG71" t="s">
        <v>1046</v>
      </c>
      <c r="AH71" t="s">
        <v>461</v>
      </c>
      <c r="AI71" t="s">
        <v>1047</v>
      </c>
    </row>
    <row r="72" spans="5:35" ht="15" customHeight="1" x14ac:dyDescent="0.3">
      <c r="E72" t="s">
        <v>520</v>
      </c>
      <c r="F72" t="s">
        <v>123</v>
      </c>
      <c r="M72" t="s">
        <v>164</v>
      </c>
      <c r="Q72" t="s">
        <v>730</v>
      </c>
      <c r="R72" t="s">
        <v>461</v>
      </c>
      <c r="S72" s="18" t="s">
        <v>232</v>
      </c>
      <c r="AC72" s="1" t="s">
        <v>1436</v>
      </c>
      <c r="AD72" s="11" t="s">
        <v>461</v>
      </c>
      <c r="AE72" s="12"/>
      <c r="AG72" t="s">
        <v>1048</v>
      </c>
      <c r="AH72" t="s">
        <v>461</v>
      </c>
      <c r="AI72" t="s">
        <v>1049</v>
      </c>
    </row>
    <row r="73" spans="5:35" ht="15" customHeight="1" x14ac:dyDescent="0.3">
      <c r="E73" t="s">
        <v>385</v>
      </c>
      <c r="F73" t="s">
        <v>123</v>
      </c>
      <c r="M73" t="s">
        <v>165</v>
      </c>
      <c r="Q73" t="s">
        <v>729</v>
      </c>
      <c r="R73" t="s">
        <v>461</v>
      </c>
      <c r="S73" s="18" t="s">
        <v>306</v>
      </c>
      <c r="AC73" s="1" t="s">
        <v>1437</v>
      </c>
      <c r="AD73" s="11" t="s">
        <v>461</v>
      </c>
      <c r="AE73" s="12"/>
      <c r="AG73" t="s">
        <v>1050</v>
      </c>
      <c r="AH73" t="s">
        <v>461</v>
      </c>
      <c r="AI73" t="s">
        <v>1051</v>
      </c>
    </row>
    <row r="74" spans="5:35" ht="15" customHeight="1" x14ac:dyDescent="0.3">
      <c r="E74" t="s">
        <v>177</v>
      </c>
      <c r="F74" t="s">
        <v>123</v>
      </c>
      <c r="M74" t="s">
        <v>166</v>
      </c>
      <c r="Q74" t="s">
        <v>728</v>
      </c>
      <c r="R74" t="s">
        <v>461</v>
      </c>
      <c r="S74" s="18" t="s">
        <v>307</v>
      </c>
      <c r="AC74" s="1" t="s">
        <v>1438</v>
      </c>
      <c r="AD74" s="11" t="s">
        <v>461</v>
      </c>
      <c r="AE74" s="12"/>
      <c r="AG74" t="s">
        <v>1052</v>
      </c>
      <c r="AH74" t="s">
        <v>461</v>
      </c>
      <c r="AI74" t="s">
        <v>1053</v>
      </c>
    </row>
    <row r="75" spans="5:35" ht="15" customHeight="1" x14ac:dyDescent="0.3">
      <c r="E75" t="s">
        <v>521</v>
      </c>
      <c r="F75" t="s">
        <v>123</v>
      </c>
      <c r="M75" t="s">
        <v>167</v>
      </c>
      <c r="Q75" t="s">
        <v>727</v>
      </c>
      <c r="R75" t="s">
        <v>461</v>
      </c>
      <c r="S75" s="18" t="s">
        <v>308</v>
      </c>
      <c r="AC75" s="1" t="s">
        <v>1439</v>
      </c>
      <c r="AD75" s="11" t="s">
        <v>461</v>
      </c>
      <c r="AE75" s="12"/>
      <c r="AG75" t="s">
        <v>1054</v>
      </c>
      <c r="AH75" t="s">
        <v>461</v>
      </c>
      <c r="AI75" t="s">
        <v>1055</v>
      </c>
    </row>
    <row r="76" spans="5:35" ht="15" customHeight="1" x14ac:dyDescent="0.3">
      <c r="E76" t="s">
        <v>386</v>
      </c>
      <c r="F76" t="s">
        <v>123</v>
      </c>
      <c r="M76" t="s">
        <v>168</v>
      </c>
      <c r="Q76" t="s">
        <v>726</v>
      </c>
      <c r="R76" t="s">
        <v>461</v>
      </c>
      <c r="S76" s="18" t="s">
        <v>309</v>
      </c>
      <c r="AC76" s="1" t="s">
        <v>1440</v>
      </c>
      <c r="AD76" s="11" t="s">
        <v>461</v>
      </c>
      <c r="AE76" s="12"/>
      <c r="AG76" t="s">
        <v>1056</v>
      </c>
      <c r="AH76" t="s">
        <v>461</v>
      </c>
      <c r="AI76" t="s">
        <v>1057</v>
      </c>
    </row>
    <row r="77" spans="5:35" ht="15" customHeight="1" x14ac:dyDescent="0.3">
      <c r="E77" t="s">
        <v>389</v>
      </c>
      <c r="F77" t="s">
        <v>123</v>
      </c>
      <c r="M77" t="s">
        <v>45</v>
      </c>
      <c r="Q77" t="s">
        <v>725</v>
      </c>
      <c r="R77" t="s">
        <v>461</v>
      </c>
      <c r="S77" s="18" t="s">
        <v>310</v>
      </c>
      <c r="AC77" s="1" t="s">
        <v>1441</v>
      </c>
      <c r="AD77" s="11" t="s">
        <v>461</v>
      </c>
      <c r="AE77" s="12"/>
      <c r="AG77" t="s">
        <v>1058</v>
      </c>
      <c r="AH77" t="s">
        <v>461</v>
      </c>
      <c r="AI77" t="s">
        <v>1059</v>
      </c>
    </row>
    <row r="78" spans="5:35" ht="15" customHeight="1" x14ac:dyDescent="0.3">
      <c r="E78" t="s">
        <v>522</v>
      </c>
      <c r="F78" t="s">
        <v>123</v>
      </c>
      <c r="M78" t="s">
        <v>169</v>
      </c>
      <c r="Q78" t="s">
        <v>724</v>
      </c>
      <c r="R78" t="s">
        <v>461</v>
      </c>
      <c r="S78" s="18" t="s">
        <v>311</v>
      </c>
      <c r="AC78" s="1" t="s">
        <v>1442</v>
      </c>
      <c r="AD78" s="11" t="s">
        <v>461</v>
      </c>
      <c r="AE78" s="12"/>
      <c r="AG78" t="s">
        <v>1060</v>
      </c>
      <c r="AH78" t="s">
        <v>461</v>
      </c>
      <c r="AI78" t="s">
        <v>1061</v>
      </c>
    </row>
    <row r="79" spans="5:35" ht="15" customHeight="1" x14ac:dyDescent="0.3">
      <c r="E79" t="s">
        <v>523</v>
      </c>
      <c r="F79" t="s">
        <v>123</v>
      </c>
      <c r="M79" t="s">
        <v>170</v>
      </c>
      <c r="Q79" t="s">
        <v>723</v>
      </c>
      <c r="R79" t="s">
        <v>461</v>
      </c>
      <c r="S79" s="18" t="s">
        <v>312</v>
      </c>
      <c r="AC79" s="1" t="s">
        <v>1443</v>
      </c>
      <c r="AD79" s="11" t="s">
        <v>461</v>
      </c>
      <c r="AE79" s="12"/>
      <c r="AG79" t="s">
        <v>1062</v>
      </c>
      <c r="AH79" t="s">
        <v>461</v>
      </c>
      <c r="AI79" t="s">
        <v>1063</v>
      </c>
    </row>
    <row r="80" spans="5:35" ht="15" customHeight="1" x14ac:dyDescent="0.3">
      <c r="E80" t="s">
        <v>524</v>
      </c>
      <c r="F80" t="s">
        <v>123</v>
      </c>
      <c r="M80" t="s">
        <v>92</v>
      </c>
      <c r="Q80" t="s">
        <v>722</v>
      </c>
      <c r="R80" t="s">
        <v>461</v>
      </c>
      <c r="S80" s="18" t="s">
        <v>313</v>
      </c>
      <c r="AC80" s="1" t="s">
        <v>1444</v>
      </c>
      <c r="AD80" s="11" t="s">
        <v>461</v>
      </c>
      <c r="AE80" s="12"/>
      <c r="AG80" t="s">
        <v>1064</v>
      </c>
      <c r="AH80" t="s">
        <v>461</v>
      </c>
      <c r="AI80" t="s">
        <v>1065</v>
      </c>
    </row>
    <row r="81" spans="5:35" ht="15" customHeight="1" x14ac:dyDescent="0.3">
      <c r="E81" t="s">
        <v>525</v>
      </c>
      <c r="F81" t="s">
        <v>123</v>
      </c>
      <c r="M81" t="s">
        <v>171</v>
      </c>
      <c r="Q81" t="s">
        <v>721</v>
      </c>
      <c r="R81" t="s">
        <v>461</v>
      </c>
      <c r="S81" s="18" t="s">
        <v>314</v>
      </c>
      <c r="AC81" s="1" t="s">
        <v>1445</v>
      </c>
      <c r="AD81" s="11" t="s">
        <v>461</v>
      </c>
      <c r="AE81" s="12"/>
      <c r="AG81" t="s">
        <v>1066</v>
      </c>
      <c r="AH81" t="s">
        <v>461</v>
      </c>
      <c r="AI81" t="s">
        <v>1067</v>
      </c>
    </row>
    <row r="82" spans="5:35" ht="15" customHeight="1" x14ac:dyDescent="0.3">
      <c r="E82" t="s">
        <v>388</v>
      </c>
      <c r="F82" t="s">
        <v>123</v>
      </c>
      <c r="M82" t="s">
        <v>172</v>
      </c>
      <c r="Q82" t="s">
        <v>720</v>
      </c>
      <c r="R82" t="s">
        <v>461</v>
      </c>
      <c r="S82" s="18" t="s">
        <v>315</v>
      </c>
      <c r="AC82" s="1" t="s">
        <v>1446</v>
      </c>
      <c r="AD82" s="11" t="s">
        <v>461</v>
      </c>
      <c r="AE82" s="12"/>
      <c r="AG82" t="s">
        <v>1068</v>
      </c>
      <c r="AH82" t="s">
        <v>461</v>
      </c>
      <c r="AI82" t="s">
        <v>1069</v>
      </c>
    </row>
    <row r="83" spans="5:35" ht="15" customHeight="1" x14ac:dyDescent="0.3">
      <c r="E83" t="s">
        <v>526</v>
      </c>
      <c r="F83" t="s">
        <v>123</v>
      </c>
      <c r="M83" t="s">
        <v>13</v>
      </c>
      <c r="Q83" t="s">
        <v>902</v>
      </c>
      <c r="R83" t="s">
        <v>461</v>
      </c>
      <c r="S83" s="18"/>
      <c r="AC83" s="1" t="s">
        <v>1447</v>
      </c>
      <c r="AD83" s="11" t="s">
        <v>461</v>
      </c>
      <c r="AE83" s="12"/>
      <c r="AG83" t="s">
        <v>1070</v>
      </c>
      <c r="AH83" t="s">
        <v>461</v>
      </c>
      <c r="AI83" t="s">
        <v>1071</v>
      </c>
    </row>
    <row r="84" spans="5:35" ht="15" customHeight="1" x14ac:dyDescent="0.3">
      <c r="E84" t="s">
        <v>527</v>
      </c>
      <c r="F84" t="s">
        <v>123</v>
      </c>
      <c r="M84" t="s">
        <v>173</v>
      </c>
      <c r="Q84" t="s">
        <v>903</v>
      </c>
      <c r="R84" t="s">
        <v>461</v>
      </c>
      <c r="S84" s="18"/>
      <c r="AC84" s="1" t="s">
        <v>1448</v>
      </c>
      <c r="AD84" s="11" t="s">
        <v>461</v>
      </c>
      <c r="AE84" s="12"/>
      <c r="AG84" t="s">
        <v>1072</v>
      </c>
      <c r="AH84" t="s">
        <v>461</v>
      </c>
      <c r="AI84" t="s">
        <v>1073</v>
      </c>
    </row>
    <row r="85" spans="5:35" ht="15" customHeight="1" x14ac:dyDescent="0.3">
      <c r="M85" t="s">
        <v>174</v>
      </c>
      <c r="Q85" t="s">
        <v>904</v>
      </c>
      <c r="R85" t="s">
        <v>461</v>
      </c>
      <c r="S85" s="18"/>
      <c r="AC85" s="1" t="s">
        <v>1449</v>
      </c>
      <c r="AD85" s="11" t="s">
        <v>461</v>
      </c>
      <c r="AE85" s="12"/>
      <c r="AG85" t="s">
        <v>1074</v>
      </c>
      <c r="AH85" t="s">
        <v>461</v>
      </c>
      <c r="AI85" t="s">
        <v>1075</v>
      </c>
    </row>
    <row r="86" spans="5:35" ht="15" customHeight="1" x14ac:dyDescent="0.3">
      <c r="M86" t="s">
        <v>175</v>
      </c>
      <c r="Q86" t="s">
        <v>905</v>
      </c>
      <c r="R86" t="s">
        <v>461</v>
      </c>
      <c r="S86" s="18"/>
      <c r="AC86" s="1" t="s">
        <v>1450</v>
      </c>
      <c r="AD86" s="11" t="s">
        <v>461</v>
      </c>
      <c r="AE86" s="12"/>
      <c r="AG86" t="s">
        <v>1076</v>
      </c>
      <c r="AH86" t="s">
        <v>461</v>
      </c>
      <c r="AI86" t="s">
        <v>1077</v>
      </c>
    </row>
    <row r="87" spans="5:35" ht="15" customHeight="1" x14ac:dyDescent="0.3">
      <c r="M87" t="s">
        <v>176</v>
      </c>
      <c r="Q87" t="s">
        <v>719</v>
      </c>
      <c r="R87" t="s">
        <v>461</v>
      </c>
      <c r="S87" s="18" t="s">
        <v>316</v>
      </c>
      <c r="AC87" s="1" t="s">
        <v>1451</v>
      </c>
      <c r="AD87" s="11" t="s">
        <v>461</v>
      </c>
      <c r="AE87" s="12"/>
      <c r="AG87" t="s">
        <v>1078</v>
      </c>
      <c r="AH87" t="s">
        <v>461</v>
      </c>
      <c r="AI87" t="s">
        <v>1079</v>
      </c>
    </row>
    <row r="88" spans="5:35" ht="15" customHeight="1" x14ac:dyDescent="0.3">
      <c r="M88" t="s">
        <v>177</v>
      </c>
      <c r="AC88" s="1" t="s">
        <v>1452</v>
      </c>
      <c r="AD88" s="11" t="s">
        <v>461</v>
      </c>
      <c r="AE88" s="12"/>
      <c r="AG88" t="s">
        <v>1080</v>
      </c>
      <c r="AH88" t="s">
        <v>461</v>
      </c>
      <c r="AI88" t="s">
        <v>1081</v>
      </c>
    </row>
    <row r="89" spans="5:35" ht="15" customHeight="1" x14ac:dyDescent="0.3">
      <c r="M89" t="s">
        <v>178</v>
      </c>
      <c r="Q89" t="s">
        <v>110</v>
      </c>
      <c r="R89" t="s">
        <v>109</v>
      </c>
      <c r="AC89" s="1" t="s">
        <v>1453</v>
      </c>
      <c r="AD89" s="11" t="s">
        <v>461</v>
      </c>
      <c r="AE89" s="12"/>
      <c r="AG89" t="s">
        <v>1082</v>
      </c>
      <c r="AH89" t="s">
        <v>461</v>
      </c>
      <c r="AI89" t="s">
        <v>1083</v>
      </c>
    </row>
    <row r="90" spans="5:35" ht="15" customHeight="1" x14ac:dyDescent="0.3">
      <c r="M90" t="s">
        <v>179</v>
      </c>
      <c r="R90" t="s">
        <v>123</v>
      </c>
      <c r="AC90" s="1" t="s">
        <v>1454</v>
      </c>
      <c r="AD90" s="11" t="s">
        <v>461</v>
      </c>
      <c r="AE90" s="12"/>
      <c r="AG90" t="s">
        <v>1084</v>
      </c>
      <c r="AH90" t="s">
        <v>461</v>
      </c>
      <c r="AI90" t="s">
        <v>1085</v>
      </c>
    </row>
    <row r="91" spans="5:35" ht="15" customHeight="1" x14ac:dyDescent="0.3">
      <c r="M91" t="s">
        <v>180</v>
      </c>
      <c r="Q91" t="s">
        <v>126</v>
      </c>
      <c r="R91" t="s">
        <v>123</v>
      </c>
      <c r="AC91" s="1" t="s">
        <v>1455</v>
      </c>
      <c r="AD91" s="11" t="s">
        <v>461</v>
      </c>
      <c r="AE91" s="12"/>
      <c r="AG91" t="s">
        <v>1086</v>
      </c>
      <c r="AH91" t="s">
        <v>461</v>
      </c>
      <c r="AI91" t="s">
        <v>1087</v>
      </c>
    </row>
    <row r="92" spans="5:35" ht="15" customHeight="1" x14ac:dyDescent="0.3">
      <c r="M92" t="s">
        <v>181</v>
      </c>
      <c r="Q92" t="s">
        <v>127</v>
      </c>
      <c r="R92" t="s">
        <v>123</v>
      </c>
      <c r="AC92" s="1" t="s">
        <v>1456</v>
      </c>
      <c r="AD92" s="11" t="s">
        <v>461</v>
      </c>
      <c r="AE92" s="12"/>
      <c r="AG92" t="s">
        <v>1088</v>
      </c>
      <c r="AH92" t="s">
        <v>461</v>
      </c>
      <c r="AI92" t="s">
        <v>1089</v>
      </c>
    </row>
    <row r="93" spans="5:35" ht="15" customHeight="1" x14ac:dyDescent="0.3">
      <c r="M93" t="s">
        <v>182</v>
      </c>
      <c r="Q93" t="s">
        <v>128</v>
      </c>
      <c r="R93" t="s">
        <v>123</v>
      </c>
      <c r="AC93" s="1" t="s">
        <v>1457</v>
      </c>
      <c r="AD93" s="11" t="s">
        <v>461</v>
      </c>
      <c r="AE93" s="12"/>
      <c r="AG93" t="s">
        <v>1090</v>
      </c>
      <c r="AH93" t="s">
        <v>461</v>
      </c>
      <c r="AI93" t="s">
        <v>1091</v>
      </c>
    </row>
    <row r="94" spans="5:35" ht="15" customHeight="1" x14ac:dyDescent="0.3">
      <c r="M94" t="s">
        <v>183</v>
      </c>
      <c r="Q94" t="s">
        <v>129</v>
      </c>
      <c r="R94" t="s">
        <v>123</v>
      </c>
      <c r="AC94" s="1" t="s">
        <v>1458</v>
      </c>
      <c r="AD94" s="11" t="s">
        <v>461</v>
      </c>
      <c r="AE94" s="12"/>
      <c r="AG94" t="s">
        <v>1092</v>
      </c>
      <c r="AH94" t="s">
        <v>461</v>
      </c>
      <c r="AI94" t="s">
        <v>1093</v>
      </c>
    </row>
    <row r="95" spans="5:35" ht="15" customHeight="1" x14ac:dyDescent="0.3">
      <c r="M95" t="s">
        <v>184</v>
      </c>
      <c r="Q95" t="s">
        <v>130</v>
      </c>
      <c r="R95" t="s">
        <v>123</v>
      </c>
      <c r="AC95" s="1" t="s">
        <v>1459</v>
      </c>
      <c r="AD95" s="11" t="s">
        <v>461</v>
      </c>
      <c r="AE95" s="12"/>
      <c r="AG95" t="s">
        <v>1094</v>
      </c>
      <c r="AH95" t="s">
        <v>461</v>
      </c>
      <c r="AI95" t="s">
        <v>1095</v>
      </c>
    </row>
    <row r="96" spans="5:35" ht="15" customHeight="1" x14ac:dyDescent="0.3">
      <c r="M96" t="s">
        <v>185</v>
      </c>
      <c r="Q96" t="s">
        <v>131</v>
      </c>
      <c r="R96" t="s">
        <v>123</v>
      </c>
      <c r="AC96" s="1" t="s">
        <v>1460</v>
      </c>
      <c r="AD96" s="11" t="s">
        <v>461</v>
      </c>
      <c r="AE96" s="12"/>
      <c r="AG96" t="s">
        <v>1096</v>
      </c>
      <c r="AH96" t="s">
        <v>461</v>
      </c>
      <c r="AI96" t="s">
        <v>1097</v>
      </c>
    </row>
    <row r="97" spans="13:35" ht="15" customHeight="1" x14ac:dyDescent="0.3">
      <c r="M97" t="s">
        <v>367</v>
      </c>
      <c r="Q97" t="s">
        <v>132</v>
      </c>
      <c r="R97" t="s">
        <v>123</v>
      </c>
      <c r="AC97" s="1" t="s">
        <v>1461</v>
      </c>
      <c r="AD97" s="11" t="s">
        <v>461</v>
      </c>
      <c r="AE97" s="12"/>
      <c r="AG97" t="s">
        <v>1098</v>
      </c>
      <c r="AH97" t="s">
        <v>461</v>
      </c>
      <c r="AI97" t="s">
        <v>1099</v>
      </c>
    </row>
    <row r="98" spans="13:35" ht="15" customHeight="1" x14ac:dyDescent="0.3">
      <c r="M98" t="s">
        <v>368</v>
      </c>
      <c r="Q98" t="s">
        <v>385</v>
      </c>
      <c r="R98" t="s">
        <v>385</v>
      </c>
      <c r="AC98" s="1" t="s">
        <v>1462</v>
      </c>
      <c r="AD98" s="11" t="s">
        <v>461</v>
      </c>
      <c r="AE98" s="12"/>
      <c r="AG98" t="s">
        <v>1100</v>
      </c>
      <c r="AH98" t="s">
        <v>461</v>
      </c>
      <c r="AI98" t="s">
        <v>1101</v>
      </c>
    </row>
    <row r="99" spans="13:35" ht="15" customHeight="1" x14ac:dyDescent="0.3">
      <c r="Q99" t="s">
        <v>5</v>
      </c>
      <c r="R99" t="s">
        <v>5</v>
      </c>
      <c r="AC99" s="1" t="s">
        <v>1463</v>
      </c>
      <c r="AD99" s="11" t="s">
        <v>461</v>
      </c>
      <c r="AE99" s="12"/>
      <c r="AG99" t="s">
        <v>1102</v>
      </c>
      <c r="AH99" t="s">
        <v>461</v>
      </c>
      <c r="AI99" t="s">
        <v>1103</v>
      </c>
    </row>
    <row r="100" spans="13:35" ht="15" customHeight="1" x14ac:dyDescent="0.3">
      <c r="Q100" t="s">
        <v>386</v>
      </c>
      <c r="R100" t="s">
        <v>386</v>
      </c>
      <c r="AC100" s="1" t="s">
        <v>1464</v>
      </c>
      <c r="AD100" s="11" t="s">
        <v>461</v>
      </c>
      <c r="AE100" s="12"/>
      <c r="AG100" t="s">
        <v>1104</v>
      </c>
      <c r="AH100" t="s">
        <v>461</v>
      </c>
      <c r="AI100" t="s">
        <v>1105</v>
      </c>
    </row>
    <row r="101" spans="13:35" ht="15" customHeight="1" x14ac:dyDescent="0.3">
      <c r="Q101" t="s">
        <v>486</v>
      </c>
      <c r="R101" t="s">
        <v>486</v>
      </c>
      <c r="AC101" s="1" t="s">
        <v>1465</v>
      </c>
      <c r="AD101" s="11" t="s">
        <v>461</v>
      </c>
      <c r="AE101" s="12"/>
      <c r="AG101" t="s">
        <v>1106</v>
      </c>
      <c r="AH101" t="s">
        <v>461</v>
      </c>
      <c r="AI101" t="s">
        <v>1107</v>
      </c>
    </row>
    <row r="102" spans="13:35" ht="15" customHeight="1" x14ac:dyDescent="0.3">
      <c r="Q102" t="s">
        <v>389</v>
      </c>
      <c r="R102" t="s">
        <v>389</v>
      </c>
      <c r="AC102" s="1" t="s">
        <v>1466</v>
      </c>
      <c r="AD102" s="11" t="s">
        <v>461</v>
      </c>
      <c r="AE102" s="12"/>
      <c r="AG102" t="s">
        <v>1108</v>
      </c>
      <c r="AH102" t="s">
        <v>461</v>
      </c>
      <c r="AI102" t="s">
        <v>1109</v>
      </c>
    </row>
    <row r="103" spans="13:35" ht="15" customHeight="1" x14ac:dyDescent="0.3">
      <c r="Q103" t="s">
        <v>391</v>
      </c>
      <c r="R103" t="s">
        <v>391</v>
      </c>
      <c r="AC103" s="1" t="s">
        <v>1467</v>
      </c>
      <c r="AD103" s="11" t="s">
        <v>461</v>
      </c>
      <c r="AE103" s="12"/>
      <c r="AG103" t="s">
        <v>1110</v>
      </c>
      <c r="AH103" t="s">
        <v>461</v>
      </c>
      <c r="AI103" t="s">
        <v>1111</v>
      </c>
    </row>
    <row r="104" spans="13:35" ht="15" customHeight="1" x14ac:dyDescent="0.3">
      <c r="Q104" t="s">
        <v>388</v>
      </c>
      <c r="R104" t="s">
        <v>388</v>
      </c>
      <c r="AC104" s="1" t="s">
        <v>1468</v>
      </c>
      <c r="AD104" s="11" t="s">
        <v>461</v>
      </c>
      <c r="AE104" s="12"/>
      <c r="AG104" t="s">
        <v>1112</v>
      </c>
      <c r="AH104" t="s">
        <v>461</v>
      </c>
      <c r="AI104" t="s">
        <v>1113</v>
      </c>
    </row>
    <row r="105" spans="13:35" ht="15" customHeight="1" x14ac:dyDescent="0.3">
      <c r="AC105" s="1" t="s">
        <v>1469</v>
      </c>
      <c r="AD105" s="11" t="s">
        <v>461</v>
      </c>
      <c r="AE105" s="12"/>
      <c r="AG105" t="s">
        <v>1114</v>
      </c>
      <c r="AH105" t="s">
        <v>461</v>
      </c>
      <c r="AI105" t="s">
        <v>1115</v>
      </c>
    </row>
    <row r="106" spans="13:35" ht="15" customHeight="1" x14ac:dyDescent="0.3">
      <c r="AC106" s="1" t="s">
        <v>1470</v>
      </c>
      <c r="AD106" s="11" t="s">
        <v>461</v>
      </c>
      <c r="AE106" s="12"/>
      <c r="AG106" t="s">
        <v>1116</v>
      </c>
      <c r="AH106" t="s">
        <v>461</v>
      </c>
      <c r="AI106" t="s">
        <v>1117</v>
      </c>
    </row>
    <row r="107" spans="13:35" ht="15" customHeight="1" x14ac:dyDescent="0.3">
      <c r="AC107" s="1" t="s">
        <v>1471</v>
      </c>
      <c r="AD107" s="11" t="s">
        <v>461</v>
      </c>
      <c r="AE107" s="12"/>
      <c r="AG107" t="s">
        <v>1118</v>
      </c>
      <c r="AH107" t="s">
        <v>461</v>
      </c>
      <c r="AI107" t="s">
        <v>1119</v>
      </c>
    </row>
    <row r="108" spans="13:35" ht="15" customHeight="1" x14ac:dyDescent="0.3">
      <c r="AC108" s="1" t="s">
        <v>1472</v>
      </c>
      <c r="AD108" s="11" t="s">
        <v>461</v>
      </c>
      <c r="AE108" s="12"/>
      <c r="AG108" t="s">
        <v>1120</v>
      </c>
      <c r="AH108" t="s">
        <v>461</v>
      </c>
      <c r="AI108" t="s">
        <v>1121</v>
      </c>
    </row>
    <row r="109" spans="13:35" ht="15" customHeight="1" x14ac:dyDescent="0.3">
      <c r="AC109" s="1" t="s">
        <v>1473</v>
      </c>
      <c r="AD109" s="11" t="s">
        <v>461</v>
      </c>
      <c r="AE109" s="12"/>
      <c r="AG109" t="s">
        <v>1122</v>
      </c>
      <c r="AH109" t="s">
        <v>461</v>
      </c>
      <c r="AI109" t="s">
        <v>1123</v>
      </c>
    </row>
    <row r="110" spans="13:35" ht="15" customHeight="1" x14ac:dyDescent="0.3">
      <c r="AC110" s="1" t="s">
        <v>1474</v>
      </c>
      <c r="AD110" s="11" t="s">
        <v>461</v>
      </c>
      <c r="AE110" s="12"/>
      <c r="AG110" t="s">
        <v>1124</v>
      </c>
      <c r="AH110" t="s">
        <v>461</v>
      </c>
      <c r="AI110" t="s">
        <v>1125</v>
      </c>
    </row>
    <row r="111" spans="13:35" ht="15" customHeight="1" x14ac:dyDescent="0.3">
      <c r="AC111" s="1" t="s">
        <v>1475</v>
      </c>
      <c r="AD111" s="11" t="s">
        <v>461</v>
      </c>
      <c r="AE111" s="12"/>
      <c r="AG111" t="s">
        <v>1126</v>
      </c>
      <c r="AH111" t="s">
        <v>461</v>
      </c>
      <c r="AI111" t="s">
        <v>1127</v>
      </c>
    </row>
    <row r="112" spans="13:35" ht="15" customHeight="1" x14ac:dyDescent="0.3">
      <c r="AC112" s="1" t="s">
        <v>1476</v>
      </c>
      <c r="AD112" s="11" t="s">
        <v>461</v>
      </c>
      <c r="AE112" s="12"/>
      <c r="AG112" t="s">
        <v>1128</v>
      </c>
      <c r="AH112" t="s">
        <v>461</v>
      </c>
      <c r="AI112" t="s">
        <v>1129</v>
      </c>
    </row>
    <row r="113" spans="29:35" ht="15" customHeight="1" x14ac:dyDescent="0.3">
      <c r="AC113" s="1" t="s">
        <v>1477</v>
      </c>
      <c r="AD113" s="11" t="s">
        <v>461</v>
      </c>
      <c r="AE113" s="12"/>
      <c r="AG113" t="s">
        <v>1130</v>
      </c>
      <c r="AH113" t="s">
        <v>461</v>
      </c>
      <c r="AI113" t="s">
        <v>191</v>
      </c>
    </row>
    <row r="114" spans="29:35" ht="15" customHeight="1" x14ac:dyDescent="0.3">
      <c r="AC114" s="1" t="s">
        <v>1478</v>
      </c>
      <c r="AD114" s="11" t="s">
        <v>461</v>
      </c>
      <c r="AE114" s="12"/>
      <c r="AG114" t="s">
        <v>1131</v>
      </c>
      <c r="AH114" t="s">
        <v>461</v>
      </c>
      <c r="AI114" t="s">
        <v>1132</v>
      </c>
    </row>
    <row r="115" spans="29:35" ht="15" customHeight="1" x14ac:dyDescent="0.3">
      <c r="AC115" s="1" t="s">
        <v>1479</v>
      </c>
      <c r="AD115" s="11" t="s">
        <v>461</v>
      </c>
      <c r="AE115" s="12"/>
      <c r="AG115" t="s">
        <v>1133</v>
      </c>
      <c r="AH115" t="s">
        <v>461</v>
      </c>
      <c r="AI115" t="s">
        <v>1134</v>
      </c>
    </row>
    <row r="116" spans="29:35" ht="15" customHeight="1" x14ac:dyDescent="0.3">
      <c r="AC116" s="1" t="s">
        <v>1480</v>
      </c>
      <c r="AD116" s="11" t="s">
        <v>461</v>
      </c>
      <c r="AE116" s="12"/>
      <c r="AG116" t="s">
        <v>1135</v>
      </c>
      <c r="AH116" t="s">
        <v>461</v>
      </c>
      <c r="AI116" t="s">
        <v>1136</v>
      </c>
    </row>
    <row r="117" spans="29:35" ht="15" customHeight="1" x14ac:dyDescent="0.3">
      <c r="AC117" s="1" t="s">
        <v>1481</v>
      </c>
      <c r="AD117" s="11" t="s">
        <v>461</v>
      </c>
      <c r="AE117" s="12"/>
      <c r="AG117" t="s">
        <v>1137</v>
      </c>
      <c r="AH117" t="s">
        <v>461</v>
      </c>
      <c r="AI117" t="s">
        <v>1138</v>
      </c>
    </row>
    <row r="118" spans="29:35" ht="15" customHeight="1" x14ac:dyDescent="0.3">
      <c r="AC118" s="1" t="s">
        <v>1482</v>
      </c>
      <c r="AD118" s="11" t="s">
        <v>461</v>
      </c>
      <c r="AE118" s="12"/>
      <c r="AG118" t="s">
        <v>1139</v>
      </c>
      <c r="AH118" t="s">
        <v>461</v>
      </c>
      <c r="AI118" t="s">
        <v>1140</v>
      </c>
    </row>
    <row r="119" spans="29:35" ht="15" customHeight="1" x14ac:dyDescent="0.3">
      <c r="AC119" s="1" t="s">
        <v>1483</v>
      </c>
      <c r="AD119" s="11" t="s">
        <v>461</v>
      </c>
      <c r="AE119" s="12"/>
      <c r="AG119" t="s">
        <v>1141</v>
      </c>
      <c r="AH119" t="s">
        <v>461</v>
      </c>
      <c r="AI119" t="s">
        <v>1142</v>
      </c>
    </row>
    <row r="120" spans="29:35" ht="15" customHeight="1" x14ac:dyDescent="0.3">
      <c r="AC120" s="1" t="s">
        <v>1484</v>
      </c>
      <c r="AD120" s="11" t="s">
        <v>461</v>
      </c>
      <c r="AE120" s="12"/>
      <c r="AG120" t="s">
        <v>1143</v>
      </c>
      <c r="AH120" t="s">
        <v>461</v>
      </c>
      <c r="AI120" t="s">
        <v>1144</v>
      </c>
    </row>
    <row r="121" spans="29:35" ht="15" customHeight="1" x14ac:dyDescent="0.3">
      <c r="AC121" s="1" t="s">
        <v>1485</v>
      </c>
      <c r="AD121" s="11" t="s">
        <v>461</v>
      </c>
      <c r="AE121" s="12"/>
      <c r="AG121" t="s">
        <v>1145</v>
      </c>
      <c r="AH121" t="s">
        <v>461</v>
      </c>
      <c r="AI121" t="s">
        <v>1146</v>
      </c>
    </row>
    <row r="122" spans="29:35" ht="15" customHeight="1" x14ac:dyDescent="0.3">
      <c r="AC122" s="1" t="s">
        <v>1486</v>
      </c>
      <c r="AD122" s="11" t="s">
        <v>461</v>
      </c>
      <c r="AE122" s="12"/>
      <c r="AG122" t="s">
        <v>1147</v>
      </c>
      <c r="AH122" t="s">
        <v>461</v>
      </c>
      <c r="AI122" t="s">
        <v>1148</v>
      </c>
    </row>
    <row r="123" spans="29:35" ht="15" customHeight="1" x14ac:dyDescent="0.3">
      <c r="AC123" s="1" t="s">
        <v>1487</v>
      </c>
      <c r="AD123" s="11" t="s">
        <v>461</v>
      </c>
      <c r="AE123" s="12"/>
      <c r="AG123" t="s">
        <v>1149</v>
      </c>
      <c r="AH123" t="s">
        <v>461</v>
      </c>
      <c r="AI123" t="s">
        <v>1150</v>
      </c>
    </row>
    <row r="124" spans="29:35" ht="15" customHeight="1" x14ac:dyDescent="0.3">
      <c r="AC124" s="1" t="s">
        <v>1488</v>
      </c>
      <c r="AD124" s="11" t="s">
        <v>461</v>
      </c>
      <c r="AE124" s="12"/>
      <c r="AG124" t="s">
        <v>1151</v>
      </c>
      <c r="AH124" t="s">
        <v>461</v>
      </c>
      <c r="AI124" t="s">
        <v>1152</v>
      </c>
    </row>
    <row r="125" spans="29:35" ht="15" customHeight="1" x14ac:dyDescent="0.3">
      <c r="AC125" s="1" t="s">
        <v>1489</v>
      </c>
      <c r="AD125" s="11" t="s">
        <v>461</v>
      </c>
      <c r="AE125" s="12"/>
      <c r="AG125" t="s">
        <v>1153</v>
      </c>
      <c r="AH125" t="s">
        <v>461</v>
      </c>
      <c r="AI125" t="s">
        <v>1154</v>
      </c>
    </row>
    <row r="126" spans="29:35" ht="15" customHeight="1" x14ac:dyDescent="0.3">
      <c r="AC126" s="1" t="s">
        <v>1490</v>
      </c>
      <c r="AD126" s="11" t="s">
        <v>461</v>
      </c>
      <c r="AE126" s="12"/>
      <c r="AG126" t="s">
        <v>1155</v>
      </c>
      <c r="AH126" t="s">
        <v>461</v>
      </c>
      <c r="AI126" t="s">
        <v>1156</v>
      </c>
    </row>
    <row r="127" spans="29:35" ht="15" customHeight="1" x14ac:dyDescent="0.3">
      <c r="AC127" s="1" t="s">
        <v>1491</v>
      </c>
      <c r="AD127" s="11" t="s">
        <v>461</v>
      </c>
      <c r="AE127" s="12"/>
      <c r="AG127" t="s">
        <v>1157</v>
      </c>
      <c r="AH127" t="s">
        <v>461</v>
      </c>
      <c r="AI127" t="s">
        <v>1158</v>
      </c>
    </row>
    <row r="128" spans="29:35" ht="15" customHeight="1" x14ac:dyDescent="0.3">
      <c r="AC128" s="1" t="s">
        <v>1492</v>
      </c>
      <c r="AD128" s="11" t="s">
        <v>461</v>
      </c>
      <c r="AE128" s="12"/>
      <c r="AG128" t="s">
        <v>1159</v>
      </c>
      <c r="AH128" t="s">
        <v>461</v>
      </c>
      <c r="AI128" t="s">
        <v>1160</v>
      </c>
    </row>
    <row r="129" spans="29:35" ht="15" customHeight="1" x14ac:dyDescent="0.3">
      <c r="AC129" s="1" t="s">
        <v>1493</v>
      </c>
      <c r="AD129" s="11" t="s">
        <v>461</v>
      </c>
      <c r="AE129" s="12"/>
      <c r="AG129" t="s">
        <v>1161</v>
      </c>
      <c r="AH129" t="s">
        <v>461</v>
      </c>
      <c r="AI129" t="s">
        <v>1162</v>
      </c>
    </row>
    <row r="130" spans="29:35" ht="15" customHeight="1" x14ac:dyDescent="0.3">
      <c r="AC130" s="1" t="s">
        <v>1494</v>
      </c>
      <c r="AD130" s="11" t="s">
        <v>461</v>
      </c>
      <c r="AE130" s="12"/>
      <c r="AG130" t="s">
        <v>1163</v>
      </c>
      <c r="AH130" t="s">
        <v>461</v>
      </c>
      <c r="AI130" t="s">
        <v>1164</v>
      </c>
    </row>
    <row r="131" spans="29:35" ht="15" customHeight="1" x14ac:dyDescent="0.3">
      <c r="AC131" s="1" t="s">
        <v>1495</v>
      </c>
      <c r="AD131" s="11" t="s">
        <v>461</v>
      </c>
      <c r="AE131" s="12"/>
      <c r="AG131" t="s">
        <v>1165</v>
      </c>
      <c r="AH131" t="s">
        <v>461</v>
      </c>
      <c r="AI131" t="s">
        <v>1166</v>
      </c>
    </row>
    <row r="132" spans="29:35" ht="15" customHeight="1" x14ac:dyDescent="0.3">
      <c r="AC132" s="1" t="s">
        <v>1496</v>
      </c>
      <c r="AD132" s="11" t="s">
        <v>461</v>
      </c>
      <c r="AE132" s="12"/>
      <c r="AG132" t="s">
        <v>1167</v>
      </c>
      <c r="AH132" t="s">
        <v>461</v>
      </c>
      <c r="AI132" t="s">
        <v>1168</v>
      </c>
    </row>
    <row r="133" spans="29:35" ht="15" customHeight="1" x14ac:dyDescent="0.3">
      <c r="AC133" s="1" t="s">
        <v>1497</v>
      </c>
      <c r="AD133" s="11" t="s">
        <v>461</v>
      </c>
      <c r="AE133" s="12"/>
      <c r="AG133" t="s">
        <v>1169</v>
      </c>
      <c r="AH133" t="s">
        <v>461</v>
      </c>
      <c r="AI133" t="s">
        <v>1170</v>
      </c>
    </row>
    <row r="134" spans="29:35" ht="15" customHeight="1" x14ac:dyDescent="0.3">
      <c r="AC134" s="1" t="s">
        <v>1498</v>
      </c>
      <c r="AD134" s="11" t="s">
        <v>461</v>
      </c>
      <c r="AE134" s="12"/>
      <c r="AG134" t="s">
        <v>1171</v>
      </c>
      <c r="AH134" t="s">
        <v>461</v>
      </c>
      <c r="AI134" t="s">
        <v>1172</v>
      </c>
    </row>
    <row r="135" spans="29:35" ht="15" customHeight="1" x14ac:dyDescent="0.3">
      <c r="AC135" s="1" t="s">
        <v>1499</v>
      </c>
      <c r="AD135" s="11" t="s">
        <v>461</v>
      </c>
      <c r="AE135" s="12"/>
      <c r="AG135" t="s">
        <v>1173</v>
      </c>
      <c r="AH135" t="s">
        <v>461</v>
      </c>
      <c r="AI135" t="s">
        <v>1174</v>
      </c>
    </row>
    <row r="136" spans="29:35" ht="15" customHeight="1" x14ac:dyDescent="0.3">
      <c r="AC136" s="1" t="s">
        <v>1500</v>
      </c>
      <c r="AD136" s="11" t="s">
        <v>461</v>
      </c>
      <c r="AE136" s="12"/>
      <c r="AG136" t="s">
        <v>1175</v>
      </c>
      <c r="AH136" t="s">
        <v>461</v>
      </c>
      <c r="AI136" t="s">
        <v>1176</v>
      </c>
    </row>
    <row r="137" spans="29:35" ht="15" customHeight="1" x14ac:dyDescent="0.3">
      <c r="AC137" s="1" t="s">
        <v>1501</v>
      </c>
      <c r="AD137" s="11" t="s">
        <v>461</v>
      </c>
      <c r="AE137" s="12"/>
      <c r="AG137" t="s">
        <v>1177</v>
      </c>
      <c r="AH137" t="s">
        <v>461</v>
      </c>
      <c r="AI137" t="s">
        <v>1178</v>
      </c>
    </row>
    <row r="138" spans="29:35" ht="15" customHeight="1" x14ac:dyDescent="0.3">
      <c r="AC138" s="1" t="s">
        <v>1502</v>
      </c>
      <c r="AD138" s="11" t="s">
        <v>461</v>
      </c>
      <c r="AE138" s="12"/>
      <c r="AG138" t="s">
        <v>1179</v>
      </c>
      <c r="AH138" t="s">
        <v>461</v>
      </c>
      <c r="AI138" t="s">
        <v>1180</v>
      </c>
    </row>
    <row r="139" spans="29:35" ht="15" customHeight="1" x14ac:dyDescent="0.3">
      <c r="AC139" s="1" t="s">
        <v>1503</v>
      </c>
      <c r="AD139" s="11" t="s">
        <v>461</v>
      </c>
      <c r="AE139" s="12"/>
      <c r="AG139" t="s">
        <v>1181</v>
      </c>
      <c r="AH139" t="s">
        <v>461</v>
      </c>
      <c r="AI139" t="s">
        <v>1182</v>
      </c>
    </row>
    <row r="140" spans="29:35" ht="15" customHeight="1" x14ac:dyDescent="0.3">
      <c r="AC140" s="1" t="s">
        <v>1504</v>
      </c>
      <c r="AD140" s="11" t="s">
        <v>461</v>
      </c>
      <c r="AE140" s="12"/>
      <c r="AG140" t="s">
        <v>1183</v>
      </c>
      <c r="AH140" t="s">
        <v>461</v>
      </c>
      <c r="AI140" t="s">
        <v>1184</v>
      </c>
    </row>
    <row r="141" spans="29:35" ht="15" customHeight="1" x14ac:dyDescent="0.3">
      <c r="AC141" s="1" t="s">
        <v>1505</v>
      </c>
      <c r="AD141" s="11" t="s">
        <v>461</v>
      </c>
      <c r="AE141" s="12"/>
      <c r="AG141" t="s">
        <v>1185</v>
      </c>
      <c r="AH141" t="s">
        <v>461</v>
      </c>
      <c r="AI141" t="s">
        <v>1186</v>
      </c>
    </row>
    <row r="142" spans="29:35" ht="15" customHeight="1" x14ac:dyDescent="0.3">
      <c r="AC142" s="1" t="s">
        <v>1506</v>
      </c>
      <c r="AD142" s="11" t="s">
        <v>461</v>
      </c>
      <c r="AE142" s="12"/>
      <c r="AG142" t="s">
        <v>1187</v>
      </c>
      <c r="AH142" t="s">
        <v>461</v>
      </c>
      <c r="AI142" t="s">
        <v>1188</v>
      </c>
    </row>
    <row r="143" spans="29:35" ht="15" customHeight="1" x14ac:dyDescent="0.3">
      <c r="AC143" s="1" t="s">
        <v>1507</v>
      </c>
      <c r="AD143" s="11" t="s">
        <v>461</v>
      </c>
      <c r="AE143" s="12"/>
      <c r="AG143" t="s">
        <v>1189</v>
      </c>
      <c r="AH143" t="s">
        <v>461</v>
      </c>
      <c r="AI143" t="s">
        <v>1190</v>
      </c>
    </row>
    <row r="144" spans="29:35" ht="15" customHeight="1" x14ac:dyDescent="0.3">
      <c r="AC144" s="1" t="s">
        <v>1508</v>
      </c>
      <c r="AD144" s="11" t="s">
        <v>461</v>
      </c>
      <c r="AE144" s="12"/>
      <c r="AG144" t="s">
        <v>1191</v>
      </c>
      <c r="AH144" t="s">
        <v>461</v>
      </c>
      <c r="AI144" t="s">
        <v>1192</v>
      </c>
    </row>
    <row r="145" spans="29:35" ht="15" customHeight="1" x14ac:dyDescent="0.3">
      <c r="AC145" s="1" t="s">
        <v>1509</v>
      </c>
      <c r="AD145" s="11" t="s">
        <v>461</v>
      </c>
      <c r="AE145" s="12"/>
      <c r="AG145" t="s">
        <v>1193</v>
      </c>
      <c r="AH145" t="s">
        <v>461</v>
      </c>
      <c r="AI145" t="s">
        <v>1194</v>
      </c>
    </row>
    <row r="146" spans="29:35" ht="15" customHeight="1" x14ac:dyDescent="0.3">
      <c r="AC146" s="1" t="s">
        <v>1510</v>
      </c>
      <c r="AD146" s="11" t="s">
        <v>461</v>
      </c>
      <c r="AE146" s="12"/>
      <c r="AG146" t="s">
        <v>1195</v>
      </c>
      <c r="AH146" t="s">
        <v>461</v>
      </c>
      <c r="AI146" t="s">
        <v>1196</v>
      </c>
    </row>
    <row r="147" spans="29:35" ht="15" customHeight="1" x14ac:dyDescent="0.3">
      <c r="AC147" s="1" t="s">
        <v>1511</v>
      </c>
      <c r="AD147" s="11" t="s">
        <v>461</v>
      </c>
      <c r="AE147" s="12"/>
      <c r="AG147" t="s">
        <v>1197</v>
      </c>
      <c r="AH147" t="s">
        <v>461</v>
      </c>
      <c r="AI147" t="s">
        <v>1198</v>
      </c>
    </row>
    <row r="148" spans="29:35" ht="15" customHeight="1" x14ac:dyDescent="0.3">
      <c r="AC148" s="1" t="s">
        <v>1512</v>
      </c>
      <c r="AD148" s="11" t="s">
        <v>461</v>
      </c>
      <c r="AE148" s="12"/>
      <c r="AG148" t="s">
        <v>1199</v>
      </c>
      <c r="AH148" t="s">
        <v>461</v>
      </c>
      <c r="AI148" t="s">
        <v>1200</v>
      </c>
    </row>
    <row r="149" spans="29:35" ht="15" customHeight="1" x14ac:dyDescent="0.3">
      <c r="AC149" s="1" t="s">
        <v>1513</v>
      </c>
      <c r="AD149" s="11" t="s">
        <v>461</v>
      </c>
      <c r="AE149" s="12"/>
      <c r="AG149" t="s">
        <v>1201</v>
      </c>
      <c r="AH149" t="s">
        <v>461</v>
      </c>
      <c r="AI149" t="s">
        <v>1202</v>
      </c>
    </row>
    <row r="150" spans="29:35" ht="15" customHeight="1" x14ac:dyDescent="0.3">
      <c r="AC150" s="1" t="s">
        <v>1514</v>
      </c>
      <c r="AD150" s="11" t="s">
        <v>461</v>
      </c>
      <c r="AE150" s="12"/>
      <c r="AG150" t="s">
        <v>1203</v>
      </c>
      <c r="AH150" t="s">
        <v>461</v>
      </c>
      <c r="AI150" t="s">
        <v>1204</v>
      </c>
    </row>
    <row r="151" spans="29:35" ht="15" customHeight="1" x14ac:dyDescent="0.3">
      <c r="AC151" s="1"/>
      <c r="AD151" s="11"/>
      <c r="AE151" s="12"/>
      <c r="AG151" t="s">
        <v>1205</v>
      </c>
      <c r="AH151" t="s">
        <v>461</v>
      </c>
      <c r="AI151" t="s">
        <v>1206</v>
      </c>
    </row>
    <row r="152" spans="29:35" ht="15" customHeight="1" x14ac:dyDescent="0.3">
      <c r="AC152" t="s">
        <v>110</v>
      </c>
      <c r="AD152" t="s">
        <v>109</v>
      </c>
      <c r="AG152" t="s">
        <v>1207</v>
      </c>
      <c r="AH152" t="s">
        <v>461</v>
      </c>
      <c r="AI152" t="s">
        <v>1208</v>
      </c>
    </row>
    <row r="153" spans="29:35" ht="15" customHeight="1" x14ac:dyDescent="0.3">
      <c r="AD153" t="s">
        <v>123</v>
      </c>
      <c r="AG153" t="s">
        <v>1209</v>
      </c>
      <c r="AH153" t="s">
        <v>461</v>
      </c>
      <c r="AI153" t="s">
        <v>1210</v>
      </c>
    </row>
    <row r="154" spans="29:35" ht="15" customHeight="1" x14ac:dyDescent="0.3">
      <c r="AC154" t="s">
        <v>57</v>
      </c>
      <c r="AD154" t="s">
        <v>123</v>
      </c>
      <c r="AG154" t="s">
        <v>1211</v>
      </c>
      <c r="AH154" t="s">
        <v>461</v>
      </c>
      <c r="AI154" t="s">
        <v>1212</v>
      </c>
    </row>
    <row r="155" spans="29:35" ht="15" customHeight="1" x14ac:dyDescent="0.3">
      <c r="AC155" t="s">
        <v>58</v>
      </c>
      <c r="AD155" t="s">
        <v>123</v>
      </c>
      <c r="AG155" t="s">
        <v>1213</v>
      </c>
      <c r="AH155" t="s">
        <v>461</v>
      </c>
      <c r="AI155" t="s">
        <v>1214</v>
      </c>
    </row>
    <row r="156" spans="29:35" ht="15" customHeight="1" x14ac:dyDescent="0.3">
      <c r="AC156" t="s">
        <v>11</v>
      </c>
      <c r="AD156" t="s">
        <v>125</v>
      </c>
      <c r="AG156" t="s">
        <v>1215</v>
      </c>
      <c r="AH156" t="s">
        <v>461</v>
      </c>
      <c r="AI156" t="s">
        <v>1216</v>
      </c>
    </row>
    <row r="157" spans="29:35" ht="15" customHeight="1" x14ac:dyDescent="0.3">
      <c r="AC157" t="s">
        <v>56</v>
      </c>
      <c r="AD157" t="s">
        <v>123</v>
      </c>
      <c r="AG157" t="s">
        <v>1217</v>
      </c>
      <c r="AH157" t="s">
        <v>461</v>
      </c>
      <c r="AI157" t="s">
        <v>1218</v>
      </c>
    </row>
    <row r="158" spans="29:35" ht="15" customHeight="1" x14ac:dyDescent="0.3">
      <c r="AC158" t="s">
        <v>47</v>
      </c>
      <c r="AD158" t="s">
        <v>123</v>
      </c>
      <c r="AG158" t="s">
        <v>1219</v>
      </c>
      <c r="AH158" t="s">
        <v>461</v>
      </c>
      <c r="AI158" t="s">
        <v>1220</v>
      </c>
    </row>
    <row r="159" spans="29:35" ht="15" customHeight="1" x14ac:dyDescent="0.3">
      <c r="AC159" t="s">
        <v>4</v>
      </c>
      <c r="AD159" t="s">
        <v>123</v>
      </c>
      <c r="AG159" t="s">
        <v>1221</v>
      </c>
      <c r="AH159" t="s">
        <v>461</v>
      </c>
      <c r="AI159" t="s">
        <v>1222</v>
      </c>
    </row>
    <row r="160" spans="29:35" ht="15" customHeight="1" x14ac:dyDescent="0.3">
      <c r="AC160" t="s">
        <v>51</v>
      </c>
      <c r="AD160" t="s">
        <v>123</v>
      </c>
      <c r="AG160" t="s">
        <v>1223</v>
      </c>
      <c r="AH160" t="s">
        <v>461</v>
      </c>
      <c r="AI160" t="s">
        <v>1224</v>
      </c>
    </row>
    <row r="161" spans="29:35" ht="15" customHeight="1" x14ac:dyDescent="0.3">
      <c r="AC161" t="s">
        <v>12</v>
      </c>
      <c r="AD161" t="s">
        <v>123</v>
      </c>
      <c r="AG161" t="s">
        <v>1225</v>
      </c>
      <c r="AH161" t="s">
        <v>461</v>
      </c>
      <c r="AI161" t="s">
        <v>1226</v>
      </c>
    </row>
    <row r="162" spans="29:35" ht="15" customHeight="1" x14ac:dyDescent="0.3">
      <c r="AC162" t="s">
        <v>7</v>
      </c>
      <c r="AD162" t="s">
        <v>124</v>
      </c>
      <c r="AG162" t="s">
        <v>1227</v>
      </c>
      <c r="AH162" t="s">
        <v>461</v>
      </c>
      <c r="AI162" t="s">
        <v>1228</v>
      </c>
    </row>
    <row r="163" spans="29:35" ht="15" customHeight="1" x14ac:dyDescent="0.3">
      <c r="AC163" t="s">
        <v>55</v>
      </c>
      <c r="AD163" t="s">
        <v>123</v>
      </c>
      <c r="AG163" t="s">
        <v>1229</v>
      </c>
      <c r="AH163" t="s">
        <v>461</v>
      </c>
      <c r="AI163" t="s">
        <v>1230</v>
      </c>
    </row>
    <row r="164" spans="29:35" ht="15" customHeight="1" x14ac:dyDescent="0.3">
      <c r="AC164" t="s">
        <v>52</v>
      </c>
      <c r="AD164" t="s">
        <v>124</v>
      </c>
      <c r="AG164" t="s">
        <v>1231</v>
      </c>
      <c r="AH164" t="s">
        <v>461</v>
      </c>
      <c r="AI164" t="s">
        <v>1232</v>
      </c>
    </row>
    <row r="165" spans="29:35" ht="15" customHeight="1" x14ac:dyDescent="0.3">
      <c r="AC165" t="s">
        <v>46</v>
      </c>
      <c r="AD165" t="s">
        <v>123</v>
      </c>
      <c r="AG165" t="s">
        <v>1233</v>
      </c>
      <c r="AH165" t="s">
        <v>461</v>
      </c>
      <c r="AI165" t="s">
        <v>1234</v>
      </c>
    </row>
    <row r="166" spans="29:35" ht="15" customHeight="1" x14ac:dyDescent="0.3">
      <c r="AC166" t="s">
        <v>65</v>
      </c>
      <c r="AD166" t="s">
        <v>123</v>
      </c>
      <c r="AG166" t="s">
        <v>1235</v>
      </c>
      <c r="AH166" t="s">
        <v>461</v>
      </c>
      <c r="AI166" t="s">
        <v>1236</v>
      </c>
    </row>
    <row r="167" spans="29:35" ht="15" customHeight="1" x14ac:dyDescent="0.3">
      <c r="AC167" t="s">
        <v>50</v>
      </c>
      <c r="AD167" t="s">
        <v>123</v>
      </c>
      <c r="AG167" t="s">
        <v>1237</v>
      </c>
      <c r="AH167" t="s">
        <v>461</v>
      </c>
      <c r="AI167" t="s">
        <v>1238</v>
      </c>
    </row>
    <row r="168" spans="29:35" ht="15" customHeight="1" x14ac:dyDescent="0.3">
      <c r="AC168" t="s">
        <v>13</v>
      </c>
      <c r="AD168" t="s">
        <v>123</v>
      </c>
      <c r="AG168" t="s">
        <v>1239</v>
      </c>
      <c r="AH168" t="s">
        <v>461</v>
      </c>
      <c r="AI168" t="s">
        <v>1240</v>
      </c>
    </row>
    <row r="169" spans="29:35" ht="15" customHeight="1" x14ac:dyDescent="0.3">
      <c r="AC169" t="s">
        <v>54</v>
      </c>
      <c r="AD169" t="s">
        <v>123</v>
      </c>
      <c r="AG169" t="s">
        <v>1241</v>
      </c>
      <c r="AH169" t="s">
        <v>461</v>
      </c>
      <c r="AI169" t="s">
        <v>1242</v>
      </c>
    </row>
    <row r="170" spans="29:35" ht="15" customHeight="1" x14ac:dyDescent="0.3">
      <c r="AC170" t="s">
        <v>62</v>
      </c>
      <c r="AD170" t="s">
        <v>123</v>
      </c>
      <c r="AG170" t="s">
        <v>1243</v>
      </c>
      <c r="AH170" t="s">
        <v>461</v>
      </c>
      <c r="AI170" t="s">
        <v>1244</v>
      </c>
    </row>
    <row r="171" spans="29:35" ht="15" customHeight="1" x14ac:dyDescent="0.3">
      <c r="AC171" t="s">
        <v>48</v>
      </c>
      <c r="AD171" t="s">
        <v>123</v>
      </c>
      <c r="AG171" t="s">
        <v>1245</v>
      </c>
      <c r="AH171" t="s">
        <v>461</v>
      </c>
      <c r="AI171" t="s">
        <v>1246</v>
      </c>
    </row>
    <row r="172" spans="29:35" ht="15" customHeight="1" x14ac:dyDescent="0.3">
      <c r="AC172" t="s">
        <v>16</v>
      </c>
      <c r="AD172" t="s">
        <v>123</v>
      </c>
      <c r="AG172" t="s">
        <v>1247</v>
      </c>
      <c r="AH172" t="s">
        <v>461</v>
      </c>
      <c r="AI172" t="s">
        <v>1248</v>
      </c>
    </row>
    <row r="173" spans="29:35" ht="15" customHeight="1" x14ac:dyDescent="0.3">
      <c r="AC173" t="s">
        <v>117</v>
      </c>
      <c r="AD173" t="s">
        <v>123</v>
      </c>
      <c r="AG173" t="s">
        <v>1249</v>
      </c>
      <c r="AH173" t="s">
        <v>461</v>
      </c>
      <c r="AI173" t="s">
        <v>1250</v>
      </c>
    </row>
    <row r="174" spans="29:35" ht="15" customHeight="1" x14ac:dyDescent="0.3">
      <c r="AC174" t="s">
        <v>49</v>
      </c>
      <c r="AD174" t="s">
        <v>123</v>
      </c>
      <c r="AG174" t="s">
        <v>1251</v>
      </c>
      <c r="AH174" t="s">
        <v>461</v>
      </c>
      <c r="AI174" t="s">
        <v>1252</v>
      </c>
    </row>
    <row r="175" spans="29:35" ht="15" customHeight="1" x14ac:dyDescent="0.3">
      <c r="AC175" t="s">
        <v>6</v>
      </c>
      <c r="AD175" t="s">
        <v>123</v>
      </c>
      <c r="AG175" t="s">
        <v>1253</v>
      </c>
      <c r="AH175" t="s">
        <v>461</v>
      </c>
      <c r="AI175" t="s">
        <v>1254</v>
      </c>
    </row>
    <row r="176" spans="29:35" ht="15" customHeight="1" x14ac:dyDescent="0.3">
      <c r="AC176" t="s">
        <v>63</v>
      </c>
      <c r="AD176" t="s">
        <v>123</v>
      </c>
      <c r="AG176" t="s">
        <v>1255</v>
      </c>
      <c r="AH176" t="s">
        <v>461</v>
      </c>
      <c r="AI176" t="s">
        <v>1256</v>
      </c>
    </row>
    <row r="177" spans="29:35" ht="15" customHeight="1" x14ac:dyDescent="0.3">
      <c r="AC177" t="s">
        <v>15</v>
      </c>
      <c r="AD177" t="s">
        <v>123</v>
      </c>
      <c r="AG177" t="s">
        <v>1257</v>
      </c>
      <c r="AH177" t="s">
        <v>461</v>
      </c>
      <c r="AI177" t="s">
        <v>1258</v>
      </c>
    </row>
    <row r="178" spans="29:35" ht="15" customHeight="1" x14ac:dyDescent="0.3">
      <c r="AC178" t="s">
        <v>60</v>
      </c>
      <c r="AD178" t="s">
        <v>123</v>
      </c>
      <c r="AG178" t="s">
        <v>1259</v>
      </c>
      <c r="AH178" t="s">
        <v>461</v>
      </c>
      <c r="AI178" t="s">
        <v>1260</v>
      </c>
    </row>
    <row r="179" spans="29:35" ht="15" customHeight="1" x14ac:dyDescent="0.3">
      <c r="AC179" t="s">
        <v>10</v>
      </c>
      <c r="AD179" t="s">
        <v>123</v>
      </c>
      <c r="AG179" t="s">
        <v>1261</v>
      </c>
      <c r="AH179" t="s">
        <v>461</v>
      </c>
      <c r="AI179" t="s">
        <v>1262</v>
      </c>
    </row>
    <row r="180" spans="29:35" ht="15" customHeight="1" x14ac:dyDescent="0.3">
      <c r="AC180" t="s">
        <v>8</v>
      </c>
      <c r="AD180" t="s">
        <v>123</v>
      </c>
      <c r="AG180" t="s">
        <v>1263</v>
      </c>
      <c r="AH180" t="s">
        <v>461</v>
      </c>
      <c r="AI180" t="s">
        <v>1264</v>
      </c>
    </row>
    <row r="181" spans="29:35" ht="15" customHeight="1" x14ac:dyDescent="0.3">
      <c r="AC181" t="s">
        <v>14</v>
      </c>
      <c r="AD181" t="s">
        <v>123</v>
      </c>
      <c r="AG181" t="s">
        <v>1265</v>
      </c>
      <c r="AH181" t="s">
        <v>461</v>
      </c>
      <c r="AI181" t="s">
        <v>1266</v>
      </c>
    </row>
    <row r="182" spans="29:35" ht="15" customHeight="1" x14ac:dyDescent="0.3">
      <c r="AC182" t="s">
        <v>59</v>
      </c>
      <c r="AD182" t="s">
        <v>123</v>
      </c>
      <c r="AG182" t="s">
        <v>1267</v>
      </c>
      <c r="AH182" t="s">
        <v>461</v>
      </c>
      <c r="AI182" t="s">
        <v>1268</v>
      </c>
    </row>
    <row r="183" spans="29:35" ht="15" customHeight="1" x14ac:dyDescent="0.3">
      <c r="AC183" t="s">
        <v>61</v>
      </c>
      <c r="AD183" t="s">
        <v>123</v>
      </c>
      <c r="AG183" t="s">
        <v>1269</v>
      </c>
      <c r="AH183" t="s">
        <v>461</v>
      </c>
      <c r="AI183" t="s">
        <v>1270</v>
      </c>
    </row>
    <row r="184" spans="29:35" ht="15" customHeight="1" x14ac:dyDescent="0.3">
      <c r="AC184" t="s">
        <v>64</v>
      </c>
      <c r="AD184" t="s">
        <v>123</v>
      </c>
      <c r="AG184" t="s">
        <v>1271</v>
      </c>
      <c r="AH184" t="s">
        <v>461</v>
      </c>
      <c r="AI184" t="s">
        <v>1272</v>
      </c>
    </row>
    <row r="185" spans="29:35" ht="15" customHeight="1" x14ac:dyDescent="0.3">
      <c r="AC185" t="s">
        <v>53</v>
      </c>
      <c r="AD185" t="s">
        <v>123</v>
      </c>
      <c r="AG185" t="s">
        <v>1273</v>
      </c>
      <c r="AH185" t="s">
        <v>461</v>
      </c>
      <c r="AI185" t="s">
        <v>1274</v>
      </c>
    </row>
    <row r="186" spans="29:35" ht="15" customHeight="1" x14ac:dyDescent="0.3">
      <c r="AC186" t="s">
        <v>9</v>
      </c>
      <c r="AD186" t="s">
        <v>123</v>
      </c>
      <c r="AG186" t="s">
        <v>1275</v>
      </c>
      <c r="AH186" t="s">
        <v>461</v>
      </c>
      <c r="AI186" t="s">
        <v>1276</v>
      </c>
    </row>
    <row r="187" spans="29:35" ht="15" customHeight="1" x14ac:dyDescent="0.3">
      <c r="AC187" t="s">
        <v>71</v>
      </c>
      <c r="AD187" t="s">
        <v>123</v>
      </c>
      <c r="AG187" t="s">
        <v>1277</v>
      </c>
      <c r="AH187" t="s">
        <v>461</v>
      </c>
      <c r="AI187" t="s">
        <v>1278</v>
      </c>
    </row>
    <row r="188" spans="29:35" ht="15" customHeight="1" x14ac:dyDescent="0.3">
      <c r="AC188" t="s">
        <v>385</v>
      </c>
      <c r="AD188" t="s">
        <v>385</v>
      </c>
      <c r="AG188" t="s">
        <v>1279</v>
      </c>
      <c r="AH188" t="s">
        <v>461</v>
      </c>
      <c r="AI188" t="s">
        <v>1280</v>
      </c>
    </row>
    <row r="189" spans="29:35" ht="15" customHeight="1" x14ac:dyDescent="0.3">
      <c r="AC189" t="s">
        <v>5</v>
      </c>
      <c r="AD189" t="s">
        <v>5</v>
      </c>
      <c r="AG189" t="s">
        <v>1281</v>
      </c>
      <c r="AH189" t="s">
        <v>461</v>
      </c>
      <c r="AI189" t="s">
        <v>1282</v>
      </c>
    </row>
    <row r="190" spans="29:35" ht="15" customHeight="1" x14ac:dyDescent="0.3">
      <c r="AC190" t="s">
        <v>386</v>
      </c>
      <c r="AD190" t="s">
        <v>386</v>
      </c>
      <c r="AG190" t="s">
        <v>1283</v>
      </c>
      <c r="AH190" t="s">
        <v>461</v>
      </c>
      <c r="AI190" t="s">
        <v>1284</v>
      </c>
    </row>
    <row r="191" spans="29:35" ht="15" customHeight="1" x14ac:dyDescent="0.3">
      <c r="AC191" t="s">
        <v>388</v>
      </c>
      <c r="AD191" t="s">
        <v>388</v>
      </c>
      <c r="AG191" t="s">
        <v>1285</v>
      </c>
      <c r="AH191" t="s">
        <v>461</v>
      </c>
      <c r="AI191" t="s">
        <v>1286</v>
      </c>
    </row>
    <row r="192" spans="29:35" ht="15" customHeight="1" x14ac:dyDescent="0.3">
      <c r="AC192" t="s">
        <v>389</v>
      </c>
      <c r="AD192" t="s">
        <v>389</v>
      </c>
      <c r="AG192" t="s">
        <v>1287</v>
      </c>
      <c r="AH192" t="s">
        <v>461</v>
      </c>
      <c r="AI192" t="s">
        <v>1288</v>
      </c>
    </row>
    <row r="193" spans="29:35" ht="15" customHeight="1" x14ac:dyDescent="0.3">
      <c r="AC193" t="s">
        <v>390</v>
      </c>
      <c r="AD193" t="s">
        <v>390</v>
      </c>
      <c r="AG193" t="s">
        <v>1289</v>
      </c>
      <c r="AH193" t="s">
        <v>461</v>
      </c>
      <c r="AI193" t="s">
        <v>1290</v>
      </c>
    </row>
    <row r="194" spans="29:35" ht="15" customHeight="1" x14ac:dyDescent="0.3">
      <c r="AC194" t="s">
        <v>387</v>
      </c>
      <c r="AD194" t="s">
        <v>387</v>
      </c>
      <c r="AG194" t="s">
        <v>1291</v>
      </c>
      <c r="AH194" t="s">
        <v>461</v>
      </c>
      <c r="AI194" t="s">
        <v>1292</v>
      </c>
    </row>
    <row r="195" spans="29:35" ht="15" customHeight="1" x14ac:dyDescent="0.3">
      <c r="AC195" t="s">
        <v>391</v>
      </c>
      <c r="AD195" t="s">
        <v>391</v>
      </c>
      <c r="AG195" t="s">
        <v>1293</v>
      </c>
      <c r="AH195" t="s">
        <v>461</v>
      </c>
      <c r="AI195" t="s">
        <v>1294</v>
      </c>
    </row>
    <row r="196" spans="29:35" ht="15" customHeight="1" x14ac:dyDescent="0.3">
      <c r="AC196" t="s">
        <v>393</v>
      </c>
      <c r="AD196" t="s">
        <v>393</v>
      </c>
      <c r="AG196" t="s">
        <v>1295</v>
      </c>
      <c r="AH196" t="s">
        <v>461</v>
      </c>
      <c r="AI196" t="s">
        <v>1296</v>
      </c>
    </row>
    <row r="197" spans="29:35" ht="15" customHeight="1" x14ac:dyDescent="0.3">
      <c r="AC197" t="s">
        <v>394</v>
      </c>
      <c r="AD197" t="s">
        <v>394</v>
      </c>
      <c r="AG197" t="s">
        <v>1297</v>
      </c>
      <c r="AH197" t="s">
        <v>461</v>
      </c>
      <c r="AI197" t="s">
        <v>1298</v>
      </c>
    </row>
    <row r="198" spans="29:35" ht="15" customHeight="1" x14ac:dyDescent="0.3">
      <c r="AC198" t="s">
        <v>395</v>
      </c>
      <c r="AD198" t="s">
        <v>395</v>
      </c>
      <c r="AG198" t="s">
        <v>1299</v>
      </c>
      <c r="AH198" t="s">
        <v>461</v>
      </c>
      <c r="AI198" t="s">
        <v>1300</v>
      </c>
    </row>
    <row r="199" spans="29:35" ht="15" customHeight="1" x14ac:dyDescent="0.3">
      <c r="AC199" t="s">
        <v>392</v>
      </c>
      <c r="AD199" t="s">
        <v>392</v>
      </c>
      <c r="AG199" t="s">
        <v>1301</v>
      </c>
      <c r="AH199" t="s">
        <v>461</v>
      </c>
      <c r="AI199" t="s">
        <v>1302</v>
      </c>
    </row>
    <row r="200" spans="29:35" ht="15" customHeight="1" x14ac:dyDescent="0.3">
      <c r="AC200" t="s">
        <v>589</v>
      </c>
      <c r="AD200" t="s">
        <v>123</v>
      </c>
      <c r="AG200" t="s">
        <v>1303</v>
      </c>
      <c r="AH200" t="s">
        <v>461</v>
      </c>
      <c r="AI200" t="s">
        <v>1304</v>
      </c>
    </row>
    <row r="201" spans="29:35" ht="15" customHeight="1" x14ac:dyDescent="0.3">
      <c r="AG201" t="s">
        <v>1305</v>
      </c>
      <c r="AH201" t="s">
        <v>461</v>
      </c>
      <c r="AI201" t="s">
        <v>1306</v>
      </c>
    </row>
    <row r="202" spans="29:35" ht="15" customHeight="1" x14ac:dyDescent="0.3">
      <c r="AG202" t="s">
        <v>1307</v>
      </c>
      <c r="AH202" t="s">
        <v>461</v>
      </c>
      <c r="AI202" t="s">
        <v>1308</v>
      </c>
    </row>
    <row r="203" spans="29:35" ht="15" customHeight="1" x14ac:dyDescent="0.3">
      <c r="AG203" t="s">
        <v>1309</v>
      </c>
      <c r="AH203" t="s">
        <v>461</v>
      </c>
      <c r="AI203" t="s">
        <v>1310</v>
      </c>
    </row>
    <row r="204" spans="29:35" ht="15" customHeight="1" x14ac:dyDescent="0.3">
      <c r="AG204" t="s">
        <v>1311</v>
      </c>
      <c r="AH204" t="s">
        <v>461</v>
      </c>
      <c r="AI204" t="s">
        <v>1312</v>
      </c>
    </row>
    <row r="205" spans="29:35" ht="15" customHeight="1" x14ac:dyDescent="0.3">
      <c r="AG205" t="s">
        <v>1313</v>
      </c>
      <c r="AH205" t="s">
        <v>461</v>
      </c>
      <c r="AI205" t="s">
        <v>1314</v>
      </c>
    </row>
    <row r="206" spans="29:35" ht="15" customHeight="1" x14ac:dyDescent="0.3">
      <c r="AG206" t="s">
        <v>1315</v>
      </c>
      <c r="AH206" t="s">
        <v>461</v>
      </c>
      <c r="AI206" t="s">
        <v>1316</v>
      </c>
    </row>
    <row r="207" spans="29:35" ht="15" customHeight="1" x14ac:dyDescent="0.3">
      <c r="AG207" t="s">
        <v>1317</v>
      </c>
      <c r="AH207" t="s">
        <v>461</v>
      </c>
      <c r="AI207" t="s">
        <v>1318</v>
      </c>
    </row>
    <row r="208" spans="29:35" ht="15" customHeight="1" x14ac:dyDescent="0.3">
      <c r="AG208" t="s">
        <v>1319</v>
      </c>
      <c r="AH208" t="s">
        <v>461</v>
      </c>
      <c r="AI208" t="s">
        <v>1320</v>
      </c>
    </row>
    <row r="209" spans="33:35" ht="15" customHeight="1" x14ac:dyDescent="0.3">
      <c r="AG209" t="s">
        <v>1321</v>
      </c>
      <c r="AH209" t="s">
        <v>461</v>
      </c>
      <c r="AI209" t="s">
        <v>1322</v>
      </c>
    </row>
    <row r="210" spans="33:35" ht="15" customHeight="1" x14ac:dyDescent="0.3">
      <c r="AG210" t="s">
        <v>1323</v>
      </c>
      <c r="AH210" t="s">
        <v>461</v>
      </c>
      <c r="AI210" t="s">
        <v>1324</v>
      </c>
    </row>
    <row r="211" spans="33:35" ht="15" customHeight="1" x14ac:dyDescent="0.3">
      <c r="AG211" t="s">
        <v>1325</v>
      </c>
      <c r="AH211" t="s">
        <v>461</v>
      </c>
      <c r="AI211" t="s">
        <v>1326</v>
      </c>
    </row>
    <row r="212" spans="33:35" ht="15" customHeight="1" x14ac:dyDescent="0.3">
      <c r="AG212" t="s">
        <v>1327</v>
      </c>
      <c r="AH212" t="s">
        <v>461</v>
      </c>
      <c r="AI212" t="s">
        <v>1328</v>
      </c>
    </row>
    <row r="213" spans="33:35" ht="15" customHeight="1" x14ac:dyDescent="0.3">
      <c r="AG213" t="s">
        <v>1329</v>
      </c>
      <c r="AH213" t="s">
        <v>461</v>
      </c>
      <c r="AI213" t="s">
        <v>1330</v>
      </c>
    </row>
    <row r="214" spans="33:35" ht="15" customHeight="1" x14ac:dyDescent="0.3">
      <c r="AG214" t="s">
        <v>1331</v>
      </c>
      <c r="AH214" t="s">
        <v>461</v>
      </c>
      <c r="AI214" t="s">
        <v>1332</v>
      </c>
    </row>
    <row r="215" spans="33:35" ht="15" customHeight="1" x14ac:dyDescent="0.3">
      <c r="AG215" t="s">
        <v>1333</v>
      </c>
      <c r="AH215" t="s">
        <v>461</v>
      </c>
      <c r="AI215" t="s">
        <v>1334</v>
      </c>
    </row>
    <row r="216" spans="33:35" ht="15" customHeight="1" x14ac:dyDescent="0.3">
      <c r="AG216" t="s">
        <v>1335</v>
      </c>
      <c r="AH216" t="s">
        <v>461</v>
      </c>
      <c r="AI216" t="s">
        <v>1336</v>
      </c>
    </row>
    <row r="217" spans="33:35" ht="15" customHeight="1" x14ac:dyDescent="0.3">
      <c r="AG217" t="s">
        <v>1337</v>
      </c>
      <c r="AH217" t="s">
        <v>461</v>
      </c>
      <c r="AI217" t="s">
        <v>1338</v>
      </c>
    </row>
    <row r="218" spans="33:35" ht="15" customHeight="1" x14ac:dyDescent="0.3">
      <c r="AG218" t="s">
        <v>1339</v>
      </c>
      <c r="AH218" t="s">
        <v>461</v>
      </c>
      <c r="AI218" t="s">
        <v>1340</v>
      </c>
    </row>
    <row r="219" spans="33:35" ht="15" customHeight="1" x14ac:dyDescent="0.3">
      <c r="AG219" t="s">
        <v>1341</v>
      </c>
      <c r="AH219" t="s">
        <v>461</v>
      </c>
      <c r="AI219" t="s">
        <v>1342</v>
      </c>
    </row>
    <row r="220" spans="33:35" ht="15" customHeight="1" x14ac:dyDescent="0.3">
      <c r="AG220" t="s">
        <v>1343</v>
      </c>
      <c r="AH220" t="s">
        <v>461</v>
      </c>
      <c r="AI220" t="s">
        <v>1344</v>
      </c>
    </row>
    <row r="221" spans="33:35" ht="15" customHeight="1" x14ac:dyDescent="0.3">
      <c r="AG221" t="s">
        <v>1345</v>
      </c>
      <c r="AH221" t="s">
        <v>461</v>
      </c>
      <c r="AI221" t="s">
        <v>1346</v>
      </c>
    </row>
    <row r="222" spans="33:35" ht="15" customHeight="1" x14ac:dyDescent="0.3">
      <c r="AG222" t="s">
        <v>1347</v>
      </c>
      <c r="AH222" t="s">
        <v>461</v>
      </c>
      <c r="AI222" t="s">
        <v>1348</v>
      </c>
    </row>
    <row r="223" spans="33:35" ht="15" customHeight="1" x14ac:dyDescent="0.3">
      <c r="AG223" t="s">
        <v>1349</v>
      </c>
      <c r="AH223" t="s">
        <v>461</v>
      </c>
      <c r="AI223" t="s">
        <v>1350</v>
      </c>
    </row>
    <row r="224" spans="33:35" ht="15" customHeight="1" x14ac:dyDescent="0.3">
      <c r="AG224" t="s">
        <v>1351</v>
      </c>
      <c r="AH224" t="s">
        <v>461</v>
      </c>
      <c r="AI224" t="s">
        <v>1352</v>
      </c>
    </row>
    <row r="225" spans="33:35" ht="15" customHeight="1" x14ac:dyDescent="0.3">
      <c r="AG225" t="s">
        <v>1353</v>
      </c>
      <c r="AH225" t="s">
        <v>461</v>
      </c>
      <c r="AI225" t="s">
        <v>1354</v>
      </c>
    </row>
    <row r="226" spans="33:35" ht="15" customHeight="1" x14ac:dyDescent="0.3">
      <c r="AG226" t="s">
        <v>1355</v>
      </c>
      <c r="AH226" t="s">
        <v>461</v>
      </c>
      <c r="AI226" t="s">
        <v>1356</v>
      </c>
    </row>
    <row r="227" spans="33:35" ht="15" customHeight="1" x14ac:dyDescent="0.3">
      <c r="AG227" t="s">
        <v>1357</v>
      </c>
      <c r="AH227" t="s">
        <v>461</v>
      </c>
      <c r="AI227" t="s">
        <v>1358</v>
      </c>
    </row>
    <row r="228" spans="33:35" ht="15" customHeight="1" x14ac:dyDescent="0.3">
      <c r="AG228" t="s">
        <v>1359</v>
      </c>
      <c r="AH228" t="s">
        <v>461</v>
      </c>
      <c r="AI228" t="s">
        <v>1360</v>
      </c>
    </row>
    <row r="229" spans="33:35" ht="15" customHeight="1" x14ac:dyDescent="0.3">
      <c r="AG229" t="s">
        <v>1361</v>
      </c>
      <c r="AH229" t="s">
        <v>461</v>
      </c>
      <c r="AI229" t="s">
        <v>1362</v>
      </c>
    </row>
    <row r="230" spans="33:35" ht="15" customHeight="1" x14ac:dyDescent="0.3">
      <c r="AG230" t="s">
        <v>1363</v>
      </c>
      <c r="AH230" t="s">
        <v>461</v>
      </c>
      <c r="AI230" t="s">
        <v>1364</v>
      </c>
    </row>
    <row r="231" spans="33:35" ht="15" customHeight="1" x14ac:dyDescent="0.3">
      <c r="AG231" t="s">
        <v>1365</v>
      </c>
      <c r="AH231" t="s">
        <v>461</v>
      </c>
      <c r="AI231" t="s">
        <v>1366</v>
      </c>
    </row>
    <row r="232" spans="33:35" ht="15" customHeight="1" x14ac:dyDescent="0.3">
      <c r="AG232" t="s">
        <v>1367</v>
      </c>
      <c r="AH232" t="s">
        <v>461</v>
      </c>
      <c r="AI232" t="s">
        <v>1368</v>
      </c>
    </row>
    <row r="233" spans="33:35" ht="15" customHeight="1" x14ac:dyDescent="0.3">
      <c r="AG233" t="s">
        <v>1369</v>
      </c>
      <c r="AH233" t="s">
        <v>461</v>
      </c>
      <c r="AI233" t="s">
        <v>1370</v>
      </c>
    </row>
    <row r="234" spans="33:35" ht="15" customHeight="1" x14ac:dyDescent="0.3">
      <c r="AG234" t="s">
        <v>1371</v>
      </c>
      <c r="AH234" t="s">
        <v>461</v>
      </c>
      <c r="AI234" t="s">
        <v>1372</v>
      </c>
    </row>
    <row r="235" spans="33:35" ht="15" customHeight="1" x14ac:dyDescent="0.3">
      <c r="AG235" t="s">
        <v>1373</v>
      </c>
      <c r="AH235" t="s">
        <v>461</v>
      </c>
      <c r="AI235" t="s">
        <v>1374</v>
      </c>
    </row>
    <row r="236" spans="33:35" ht="15" customHeight="1" x14ac:dyDescent="0.3">
      <c r="AG236" t="s">
        <v>1375</v>
      </c>
      <c r="AH236" t="s">
        <v>461</v>
      </c>
      <c r="AI236" t="s">
        <v>1376</v>
      </c>
    </row>
    <row r="237" spans="33:35" ht="15" customHeight="1" x14ac:dyDescent="0.3">
      <c r="AG237" t="s">
        <v>1377</v>
      </c>
      <c r="AH237" t="s">
        <v>461</v>
      </c>
      <c r="AI237" t="s">
        <v>1378</v>
      </c>
    </row>
    <row r="238" spans="33:35" ht="15" customHeight="1" x14ac:dyDescent="0.3">
      <c r="AG238" t="s">
        <v>1379</v>
      </c>
      <c r="AH238" t="s">
        <v>461</v>
      </c>
      <c r="AI238" t="s">
        <v>1380</v>
      </c>
    </row>
    <row r="239" spans="33:35" ht="15" customHeight="1" x14ac:dyDescent="0.3">
      <c r="AG239" t="s">
        <v>1381</v>
      </c>
      <c r="AH239" t="s">
        <v>461</v>
      </c>
      <c r="AI239" t="s">
        <v>1382</v>
      </c>
    </row>
    <row r="240" spans="33:35" ht="15" customHeight="1" x14ac:dyDescent="0.3">
      <c r="AG240" t="s">
        <v>1383</v>
      </c>
      <c r="AH240" t="s">
        <v>461</v>
      </c>
      <c r="AI240" t="s">
        <v>1384</v>
      </c>
    </row>
    <row r="241" spans="33:35" ht="15" customHeight="1" x14ac:dyDescent="0.3">
      <c r="AG241" t="s">
        <v>1385</v>
      </c>
      <c r="AH241" t="s">
        <v>461</v>
      </c>
      <c r="AI241" t="s">
        <v>1386</v>
      </c>
    </row>
    <row r="242" spans="33:35" ht="15" customHeight="1" x14ac:dyDescent="0.3">
      <c r="AG242" t="s">
        <v>1387</v>
      </c>
      <c r="AH242" t="s">
        <v>461</v>
      </c>
      <c r="AI242" t="s">
        <v>1388</v>
      </c>
    </row>
    <row r="243" spans="33:35" ht="15" customHeight="1" x14ac:dyDescent="0.3">
      <c r="AG243" t="s">
        <v>1389</v>
      </c>
      <c r="AH243" t="s">
        <v>461</v>
      </c>
      <c r="AI243" t="s">
        <v>1390</v>
      </c>
    </row>
    <row r="244" spans="33:35" ht="15" customHeight="1" x14ac:dyDescent="0.3">
      <c r="AG244" t="s">
        <v>1391</v>
      </c>
      <c r="AH244" t="s">
        <v>461</v>
      </c>
      <c r="AI244" t="s">
        <v>1392</v>
      </c>
    </row>
    <row r="245" spans="33:35" ht="15" customHeight="1" x14ac:dyDescent="0.3">
      <c r="AG245" t="s">
        <v>1393</v>
      </c>
      <c r="AH245" t="s">
        <v>461</v>
      </c>
      <c r="AI245" t="s">
        <v>1394</v>
      </c>
    </row>
    <row r="246" spans="33:35" ht="15" customHeight="1" x14ac:dyDescent="0.3">
      <c r="AG246" t="s">
        <v>1395</v>
      </c>
      <c r="AH246" t="s">
        <v>461</v>
      </c>
      <c r="AI246" t="s">
        <v>1396</v>
      </c>
    </row>
    <row r="247" spans="33:35" ht="15" customHeight="1" x14ac:dyDescent="0.3">
      <c r="AG247" t="s">
        <v>1397</v>
      </c>
      <c r="AH247" t="s">
        <v>461</v>
      </c>
      <c r="AI247" t="s">
        <v>1398</v>
      </c>
    </row>
    <row r="248" spans="33:35" ht="15" customHeight="1" x14ac:dyDescent="0.3">
      <c r="AG248" t="s">
        <v>1399</v>
      </c>
      <c r="AH248" t="s">
        <v>461</v>
      </c>
      <c r="AI248" t="s">
        <v>1400</v>
      </c>
    </row>
    <row r="249" spans="33:35" ht="15" customHeight="1" x14ac:dyDescent="0.3">
      <c r="AG249" t="s">
        <v>1401</v>
      </c>
      <c r="AH249" t="s">
        <v>461</v>
      </c>
      <c r="AI249" t="s">
        <v>1402</v>
      </c>
    </row>
    <row r="250" spans="33:35" ht="15" customHeight="1" x14ac:dyDescent="0.3">
      <c r="AG250" t="s">
        <v>1403</v>
      </c>
      <c r="AH250" t="s">
        <v>461</v>
      </c>
      <c r="AI250" t="s">
        <v>1404</v>
      </c>
    </row>
    <row r="251" spans="33:35" ht="15" customHeight="1" x14ac:dyDescent="0.3">
      <c r="AG251" t="s">
        <v>1405</v>
      </c>
      <c r="AH251" t="s">
        <v>461</v>
      </c>
      <c r="AI251" t="s">
        <v>1406</v>
      </c>
    </row>
    <row r="252" spans="33:35" ht="15" customHeight="1" x14ac:dyDescent="0.3">
      <c r="AG252" t="s">
        <v>1407</v>
      </c>
      <c r="AH252" t="s">
        <v>461</v>
      </c>
      <c r="AI252" t="s">
        <v>1408</v>
      </c>
    </row>
    <row r="253" spans="33:35" ht="15" customHeight="1" x14ac:dyDescent="0.3">
      <c r="AG253" t="s">
        <v>1409</v>
      </c>
      <c r="AH253" t="s">
        <v>461</v>
      </c>
      <c r="AI253" t="s">
        <v>1410</v>
      </c>
    </row>
    <row r="254" spans="33:35" ht="15" customHeight="1" x14ac:dyDescent="0.3">
      <c r="AG254" t="s">
        <v>1411</v>
      </c>
      <c r="AH254" t="s">
        <v>461</v>
      </c>
      <c r="AI254" t="s">
        <v>1412</v>
      </c>
    </row>
    <row r="255" spans="33:35" ht="15" customHeight="1" x14ac:dyDescent="0.3">
      <c r="AG255" t="s">
        <v>1413</v>
      </c>
      <c r="AH255" t="s">
        <v>461</v>
      </c>
      <c r="AI255" t="s">
        <v>1414</v>
      </c>
    </row>
    <row r="256" spans="33:35" ht="15" customHeight="1" x14ac:dyDescent="0.3">
      <c r="AG256" t="s">
        <v>1415</v>
      </c>
      <c r="AH256" t="s">
        <v>461</v>
      </c>
      <c r="AI256" t="s">
        <v>1416</v>
      </c>
    </row>
    <row r="257" spans="33:35" ht="15" customHeight="1" x14ac:dyDescent="0.3">
      <c r="AG257" t="s">
        <v>1417</v>
      </c>
      <c r="AH257" t="s">
        <v>461</v>
      </c>
      <c r="AI257" t="s">
        <v>1418</v>
      </c>
    </row>
    <row r="258" spans="33:35" ht="15" customHeight="1" x14ac:dyDescent="0.3">
      <c r="AG258" t="s">
        <v>1419</v>
      </c>
      <c r="AH258" t="s">
        <v>461</v>
      </c>
      <c r="AI258" t="s">
        <v>1420</v>
      </c>
    </row>
    <row r="259" spans="33:35" ht="15" customHeight="1" x14ac:dyDescent="0.3">
      <c r="AG259" t="s">
        <v>1421</v>
      </c>
      <c r="AH259" t="s">
        <v>461</v>
      </c>
      <c r="AI259" t="s">
        <v>1422</v>
      </c>
    </row>
    <row r="261" spans="33:35" ht="15" customHeight="1" x14ac:dyDescent="0.3">
      <c r="AG261" t="s">
        <v>110</v>
      </c>
      <c r="AH261" t="s">
        <v>109</v>
      </c>
    </row>
    <row r="262" spans="33:35" ht="15" customHeight="1" x14ac:dyDescent="0.3">
      <c r="AH262" t="s">
        <v>123</v>
      </c>
    </row>
    <row r="263" spans="33:35" ht="15" customHeight="1" x14ac:dyDescent="0.3">
      <c r="AG263" t="s">
        <v>385</v>
      </c>
      <c r="AH263" t="s">
        <v>123</v>
      </c>
    </row>
    <row r="264" spans="33:35" ht="15" customHeight="1" x14ac:dyDescent="0.3">
      <c r="AG264" t="s">
        <v>1423</v>
      </c>
      <c r="AH264" t="s">
        <v>123</v>
      </c>
    </row>
    <row r="265" spans="33:35" ht="15" customHeight="1" x14ac:dyDescent="0.3">
      <c r="AG265" t="s">
        <v>1424</v>
      </c>
      <c r="AH265" t="s">
        <v>123</v>
      </c>
    </row>
    <row r="266" spans="33:35" ht="15" customHeight="1" x14ac:dyDescent="0.3">
      <c r="AG266" t="s">
        <v>386</v>
      </c>
      <c r="AH266" t="s">
        <v>123</v>
      </c>
    </row>
    <row r="267" spans="33:35" ht="15" customHeight="1" x14ac:dyDescent="0.3">
      <c r="AG267" t="s">
        <v>486</v>
      </c>
      <c r="AH267" t="s">
        <v>123</v>
      </c>
    </row>
    <row r="268" spans="33:35" ht="15" customHeight="1" x14ac:dyDescent="0.3">
      <c r="AG268" t="s">
        <v>120</v>
      </c>
      <c r="AH268" t="s">
        <v>123</v>
      </c>
    </row>
    <row r="269" spans="33:35" ht="15" customHeight="1" x14ac:dyDescent="0.3">
      <c r="AG269" t="s">
        <v>389</v>
      </c>
      <c r="AH269" t="s">
        <v>123</v>
      </c>
    </row>
    <row r="270" spans="33:35" ht="15" customHeight="1" x14ac:dyDescent="0.3">
      <c r="AG270" t="s">
        <v>1427</v>
      </c>
      <c r="AH270" t="s">
        <v>123</v>
      </c>
    </row>
    <row r="271" spans="33:35" ht="15" customHeight="1" x14ac:dyDescent="0.3">
      <c r="AG271" t="s">
        <v>391</v>
      </c>
      <c r="AH271" t="s">
        <v>123</v>
      </c>
    </row>
    <row r="272" spans="33:35" ht="15" customHeight="1" x14ac:dyDescent="0.3">
      <c r="AG272" t="s">
        <v>1428</v>
      </c>
      <c r="AH272" t="s">
        <v>123</v>
      </c>
    </row>
    <row r="273" spans="33:34" ht="15" customHeight="1" x14ac:dyDescent="0.3">
      <c r="AG273" t="s">
        <v>1426</v>
      </c>
      <c r="AH273" t="s">
        <v>123</v>
      </c>
    </row>
    <row r="274" spans="33:34" ht="15" customHeight="1" x14ac:dyDescent="0.3">
      <c r="AG274" t="s">
        <v>1425</v>
      </c>
      <c r="AH274" t="s">
        <v>123</v>
      </c>
    </row>
    <row r="275" spans="33:34" ht="15" customHeight="1" x14ac:dyDescent="0.3">
      <c r="AG275" t="s">
        <v>1429</v>
      </c>
      <c r="AH275" t="s">
        <v>123</v>
      </c>
    </row>
    <row r="276" spans="33:34" ht="15" customHeight="1" x14ac:dyDescent="0.3">
      <c r="AG276" t="s">
        <v>56</v>
      </c>
      <c r="AH276" t="s">
        <v>123</v>
      </c>
    </row>
  </sheetData>
  <mergeCells count="27">
    <mergeCell ref="AH2:AI2"/>
    <mergeCell ref="AH3:AI3"/>
    <mergeCell ref="AH4:AI4"/>
    <mergeCell ref="B2:C2"/>
    <mergeCell ref="B3:C3"/>
    <mergeCell ref="B4:C4"/>
    <mergeCell ref="F2:G2"/>
    <mergeCell ref="F3:G3"/>
    <mergeCell ref="F4:G4"/>
    <mergeCell ref="J2:K2"/>
    <mergeCell ref="J3:K3"/>
    <mergeCell ref="J4:K4"/>
    <mergeCell ref="N2:O2"/>
    <mergeCell ref="R2:S2"/>
    <mergeCell ref="N4:O4"/>
    <mergeCell ref="R4:S4"/>
    <mergeCell ref="Z4:AA4"/>
    <mergeCell ref="AD4:AE4"/>
    <mergeCell ref="Z2:AA2"/>
    <mergeCell ref="AD2:AE2"/>
    <mergeCell ref="N3:O3"/>
    <mergeCell ref="R3:S3"/>
    <mergeCell ref="V3:W3"/>
    <mergeCell ref="Z3:AA3"/>
    <mergeCell ref="AD3:AE3"/>
    <mergeCell ref="V2:W2"/>
    <mergeCell ref="V4:W4"/>
  </mergeCells>
  <phoneticPr fontId="1" type="noConversion"/>
  <conditionalFormatting sqref="A7:C32 A37:C37 C33:C36">
    <cfRule type="expression" dxfId="29" priority="29">
      <formula>IF(INDIRECT("auRateType[@Comment]")="3rd",1,0)</formula>
    </cfRule>
    <cfRule type="expression" dxfId="28" priority="30">
      <formula>IF(INDIRECT("auRateType[@Comment]")="keep",1,0)</formula>
    </cfRule>
    <cfRule type="expression" dxfId="27" priority="31">
      <formula>IF(INDIRECT("auRateType[@Comment]")="remove",1,0)</formula>
    </cfRule>
  </conditionalFormatting>
  <conditionalFormatting sqref="E7:G67">
    <cfRule type="expression" dxfId="26" priority="26">
      <formula>IF(INDIRECT("brRateType[@Comment]")="3rd",1,0)</formula>
    </cfRule>
    <cfRule type="expression" dxfId="25" priority="27">
      <formula>IF(INDIRECT("brRateType[@Comment]")="keep",1,0)</formula>
    </cfRule>
    <cfRule type="expression" dxfId="24" priority="28">
      <formula>IF(INDIRECT("brRateType[@Comment]")="remove",1,0)</formula>
    </cfRule>
  </conditionalFormatting>
  <conditionalFormatting sqref="I7:K32">
    <cfRule type="expression" dxfId="23" priority="22">
      <formula>IF(INDIRECT("caRateType[@Comment]")="3rd",1,0)</formula>
    </cfRule>
    <cfRule type="expression" dxfId="22" priority="23">
      <formula>IF(INDIRECT("caRateType[@Comment]")="keep",1,0)</formula>
    </cfRule>
    <cfRule type="expression" dxfId="21" priority="24">
      <formula>IF(INDIRECT("caRateType[@Comment]")="remove",1,0)</formula>
    </cfRule>
  </conditionalFormatting>
  <conditionalFormatting sqref="M7:O37">
    <cfRule type="expression" dxfId="20" priority="19">
      <formula>IF(INDIRECT("euRateType[@Comment]")="3rd",1,0)</formula>
    </cfRule>
    <cfRule type="expression" dxfId="19" priority="20">
      <formula>IF(INDIRECT("euRateType[@Comment]")="keep",1,0)</formula>
    </cfRule>
    <cfRule type="expression" dxfId="18" priority="21">
      <formula>IF(INDIRECT("euRateType[@Comment]")="remove",1,0)</formula>
    </cfRule>
  </conditionalFormatting>
  <conditionalFormatting sqref="Q7:S82 Q87:S87 S83:S86">
    <cfRule type="expression" dxfId="17" priority="16">
      <formula>IF(INDIRECT("mxRateType[@Comment]")="3rd",1,0)</formula>
    </cfRule>
    <cfRule type="expression" dxfId="16" priority="17">
      <formula>IF(INDIRECT("mxRateType[@Comment]")="keep",1,0)</formula>
    </cfRule>
    <cfRule type="expression" dxfId="15" priority="18">
      <formula>IF(INDIRECT("mxRateType[@Comment]")="remove",1,0)</formula>
    </cfRule>
  </conditionalFormatting>
  <conditionalFormatting sqref="U7:W26">
    <cfRule type="expression" dxfId="14" priority="13">
      <formula>IF(INDIRECT("nzRateType[@Comment]")="3rd",1,0)</formula>
    </cfRule>
    <cfRule type="expression" dxfId="13" priority="14">
      <formula>IF(INDIRECT("nzRateType[@Comment]")="keep",1,0)</formula>
    </cfRule>
    <cfRule type="expression" dxfId="12" priority="15">
      <formula>IF(INDIRECT("nzRateType[@Comment]")="remove",1,0)</formula>
    </cfRule>
  </conditionalFormatting>
  <conditionalFormatting sqref="AC7:AE151">
    <cfRule type="expression" dxfId="11" priority="7">
      <formula>IF(INDIRECT("usRateType[@Comment]")="3rd",1,0)</formula>
    </cfRule>
    <cfRule type="expression" dxfId="10" priority="8">
      <formula>IF(INDIRECT("usRateType[@Comment]")="keep",1,0)</formula>
    </cfRule>
    <cfRule type="expression" dxfId="9" priority="9">
      <formula>IF(INDIRECT("usRateType[@Comment]")="remove",1,0)</formula>
    </cfRule>
  </conditionalFormatting>
  <conditionalFormatting sqref="Y7:AA13">
    <cfRule type="expression" dxfId="8" priority="10">
      <formula>IF(INDIRECT("ruRateType[@Comment]")="3rd",1,0)</formula>
    </cfRule>
    <cfRule type="expression" dxfId="7" priority="11">
      <formula>IF(INDIRECT("ruRateType[@Comment]")="keep",1,0)</formula>
    </cfRule>
    <cfRule type="expression" dxfId="6" priority="12">
      <formula>IF(INDIRECT("ruRateType[@Comment]")="remove",1,0)</formula>
    </cfRule>
  </conditionalFormatting>
  <conditionalFormatting sqref="Q83:R86">
    <cfRule type="expression" dxfId="5" priority="4">
      <formula>IF(INDIRECT("mxRateType[@Comment]")="3rd",1,0)</formula>
    </cfRule>
    <cfRule type="expression" dxfId="4" priority="5">
      <formula>IF(INDIRECT("mxRateType[@Comment]")="keep",1,0)</formula>
    </cfRule>
    <cfRule type="expression" dxfId="3" priority="6">
      <formula>IF(INDIRECT("mxRateType[@Comment]")="remove",1,0)</formula>
    </cfRule>
  </conditionalFormatting>
  <conditionalFormatting sqref="A33:B36">
    <cfRule type="expression" dxfId="2" priority="1">
      <formula>IF(INDIRECT("auRateType[@Comment]")="3rd",1,0)</formula>
    </cfRule>
    <cfRule type="expression" dxfId="1" priority="2">
      <formula>IF(INDIRECT("auRateType[@Comment]")="keep",1,0)</formula>
    </cfRule>
    <cfRule type="expression" dxfId="0" priority="3">
      <formula>IF(INDIRECT("auRateType[@Comment]")="remove",1,0)</formula>
    </cfRule>
  </conditionalFormatting>
  <dataValidations count="1">
    <dataValidation type="list" allowBlank="1" showInputMessage="1" showErrorMessage="1" sqref="Z7:Z13 F7:F67 V7:V26 J7:J32 N7:N37 R7:R87 B7:B37 AH7:AH259 AD7:AD151" xr:uid="{EF3632D2-006B-4388-85F2-79576787BD25}">
      <formula1>"3rd, keep, remove"</formula1>
    </dataValidation>
  </dataValidations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7490-46E2-45C2-BCC9-4F0A4D60FA4E}">
  <sheetPr codeName="shtDTR"/>
  <dimension ref="A1:AE4"/>
  <sheetViews>
    <sheetView showGridLines="0" topLeftCell="M4" zoomScaleNormal="100" workbookViewId="0">
      <selection activeCell="M4" activeCellId="2" sqref="A4:D158003 F4:K158003 M4:AE158003"/>
    </sheetView>
  </sheetViews>
  <sheetFormatPr defaultColWidth="10.6640625" defaultRowHeight="14.4" x14ac:dyDescent="0.3"/>
  <cols>
    <col min="1" max="1" width="12.21875" bestFit="1" customWidth="1"/>
    <col min="2" max="2" width="14.109375" bestFit="1" customWidth="1"/>
    <col min="3" max="3" width="17.109375" bestFit="1" customWidth="1"/>
    <col min="4" max="4" width="14.6640625" bestFit="1" customWidth="1"/>
    <col min="5" max="5" width="9.21875" bestFit="1" customWidth="1"/>
    <col min="6" max="6" width="12.21875" bestFit="1" customWidth="1"/>
    <col min="7" max="7" width="12.33203125" bestFit="1" customWidth="1"/>
    <col min="8" max="8" width="10.5546875" bestFit="1" customWidth="1"/>
    <col min="9" max="9" width="16.33203125" bestFit="1" customWidth="1"/>
    <col min="10" max="10" width="8.5546875" bestFit="1" customWidth="1"/>
    <col min="11" max="11" width="15.88671875" bestFit="1" customWidth="1"/>
    <col min="12" max="12" width="15.33203125" bestFit="1" customWidth="1"/>
    <col min="13" max="13" width="80.88671875" bestFit="1" customWidth="1"/>
    <col min="14" max="14" width="27" bestFit="1" customWidth="1"/>
    <col min="15" max="15" width="28.21875" bestFit="1" customWidth="1"/>
    <col min="16" max="16" width="24.88671875" bestFit="1" customWidth="1"/>
    <col min="17" max="17" width="25.5546875" bestFit="1" customWidth="1"/>
    <col min="18" max="18" width="21.88671875" bestFit="1" customWidth="1"/>
    <col min="19" max="19" width="39.6640625" bestFit="1" customWidth="1"/>
    <col min="20" max="20" width="25.109375" bestFit="1" customWidth="1"/>
    <col min="21" max="21" width="21.77734375" bestFit="1" customWidth="1"/>
    <col min="22" max="22" width="22.44140625" bestFit="1" customWidth="1"/>
    <col min="23" max="23" width="18.77734375" bestFit="1" customWidth="1"/>
    <col min="24" max="24" width="17.5546875" bestFit="1" customWidth="1"/>
    <col min="25" max="25" width="27" bestFit="1" customWidth="1"/>
    <col min="26" max="26" width="22.88671875" bestFit="1" customWidth="1"/>
    <col min="27" max="27" width="14.5546875" bestFit="1" customWidth="1"/>
    <col min="28" max="28" width="17" bestFit="1" customWidth="1"/>
    <col min="29" max="29" width="9.77734375" bestFit="1" customWidth="1"/>
    <col min="30" max="30" width="11.77734375" bestFit="1" customWidth="1"/>
    <col min="31" max="31" width="24.77734375" bestFit="1" customWidth="1"/>
  </cols>
  <sheetData>
    <row r="1" spans="1:31" x14ac:dyDescent="0.3">
      <c r="B1" s="8" t="s">
        <v>68</v>
      </c>
      <c r="C1" s="8" t="s">
        <v>344</v>
      </c>
    </row>
    <row r="2" spans="1:31" x14ac:dyDescent="0.3">
      <c r="B2" s="8">
        <f>COUNTA(TableDTR[version])</f>
        <v>0</v>
      </c>
      <c r="C2" s="8">
        <f>COUNT(_xlfn.UNIQUE(TableDTR[version_number]))</f>
        <v>0</v>
      </c>
    </row>
    <row r="3" spans="1:31" x14ac:dyDescent="0.3">
      <c r="A3" t="s">
        <v>17</v>
      </c>
      <c r="B3" t="s">
        <v>18</v>
      </c>
      <c r="C3" t="s">
        <v>19</v>
      </c>
      <c r="D3" t="s">
        <v>20</v>
      </c>
      <c r="E3" t="s">
        <v>590</v>
      </c>
      <c r="F3" t="s">
        <v>350</v>
      </c>
      <c r="G3" t="s">
        <v>0</v>
      </c>
      <c r="H3" t="s">
        <v>1</v>
      </c>
      <c r="I3" t="s">
        <v>591</v>
      </c>
      <c r="J3" t="s">
        <v>592</v>
      </c>
      <c r="K3" t="s">
        <v>349</v>
      </c>
      <c r="L3" t="s">
        <v>863</v>
      </c>
      <c r="M3" t="s">
        <v>384</v>
      </c>
      <c r="N3" t="s">
        <v>383</v>
      </c>
      <c r="O3" t="s">
        <v>382</v>
      </c>
      <c r="P3" t="s">
        <v>381</v>
      </c>
      <c r="Q3" t="s">
        <v>380</v>
      </c>
      <c r="R3" t="s">
        <v>379</v>
      </c>
      <c r="S3" t="s">
        <v>378</v>
      </c>
      <c r="T3" t="s">
        <v>377</v>
      </c>
      <c r="U3" t="s">
        <v>374</v>
      </c>
      <c r="V3" t="s">
        <v>373</v>
      </c>
      <c r="W3" t="s">
        <v>372</v>
      </c>
      <c r="X3" t="s">
        <v>371</v>
      </c>
      <c r="Y3" t="s">
        <v>375</v>
      </c>
      <c r="Z3" t="s">
        <v>376</v>
      </c>
      <c r="AA3" t="s">
        <v>370</v>
      </c>
      <c r="AB3" t="s">
        <v>38</v>
      </c>
      <c r="AC3" t="s">
        <v>348</v>
      </c>
      <c r="AD3" t="s">
        <v>343</v>
      </c>
      <c r="AE3" t="s">
        <v>528</v>
      </c>
    </row>
    <row r="4" spans="1:31" x14ac:dyDescent="0.3">
      <c r="A4" s="1"/>
      <c r="B4" s="2"/>
      <c r="F4" s="1"/>
      <c r="G4" s="2"/>
      <c r="H4" s="2"/>
      <c r="I4" s="1"/>
      <c r="J4" s="29"/>
      <c r="K4" s="1"/>
      <c r="L4" s="1"/>
      <c r="M4" s="1"/>
      <c r="P4" s="1"/>
      <c r="R4" s="1"/>
      <c r="S4" s="1"/>
      <c r="U4" s="1"/>
      <c r="W4" s="1"/>
      <c r="X4" s="1"/>
      <c r="Z4" s="1"/>
      <c r="AA4" s="1"/>
      <c r="AB4" s="1"/>
      <c r="AC4" s="1"/>
      <c r="AD4" s="1"/>
      <c r="AE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D13-8B10-4C51-8BAC-305ED1B18DB5}">
  <sheetPr codeName="shtNOM"/>
  <dimension ref="A1:U4"/>
  <sheetViews>
    <sheetView showGridLines="0" topLeftCell="A4" workbookViewId="0">
      <selection activeCell="A4" sqref="A4:A21704"/>
    </sheetView>
  </sheetViews>
  <sheetFormatPr defaultColWidth="10.6640625" defaultRowHeight="14.4" x14ac:dyDescent="0.3"/>
  <cols>
    <col min="1" max="1" width="12.21875" bestFit="1" customWidth="1"/>
    <col min="2" max="2" width="14.109375" bestFit="1" customWidth="1"/>
    <col min="3" max="3" width="17.109375" bestFit="1" customWidth="1"/>
    <col min="4" max="4" width="14.6640625" bestFit="1" customWidth="1"/>
    <col min="5" max="5" width="9.21875" bestFit="1" customWidth="1"/>
    <col min="6" max="7" width="12.21875" bestFit="1" customWidth="1"/>
    <col min="8" max="8" width="12" bestFit="1" customWidth="1"/>
    <col min="9" max="9" width="9.6640625" bestFit="1" customWidth="1"/>
    <col min="10" max="10" width="12.33203125" bestFit="1" customWidth="1"/>
    <col min="11" max="11" width="10.5546875" bestFit="1" customWidth="1"/>
    <col min="12" max="14" width="17.21875" bestFit="1" customWidth="1"/>
    <col min="15" max="15" width="16.33203125" style="1" bestFit="1" customWidth="1"/>
    <col min="16" max="16" width="80.88671875" style="1" bestFit="1" customWidth="1"/>
    <col min="17" max="17" width="23.5546875" bestFit="1" customWidth="1"/>
    <col min="18" max="18" width="10.109375" bestFit="1" customWidth="1"/>
    <col min="19" max="19" width="17" bestFit="1" customWidth="1"/>
    <col min="20" max="20" width="15" bestFit="1" customWidth="1"/>
    <col min="21" max="21" width="13.5546875" bestFit="1" customWidth="1"/>
    <col min="22" max="44" width="12.5546875" customWidth="1"/>
  </cols>
  <sheetData>
    <row r="1" spans="1:21" x14ac:dyDescent="0.3">
      <c r="B1" s="8" t="s">
        <v>68</v>
      </c>
      <c r="C1" s="8" t="s">
        <v>344</v>
      </c>
      <c r="O1"/>
      <c r="P1"/>
    </row>
    <row r="2" spans="1:21" x14ac:dyDescent="0.3">
      <c r="B2" s="8">
        <f>COUNTA(TableNOM[version])</f>
        <v>0</v>
      </c>
      <c r="C2" s="8">
        <f>COUNT(_xlfn.UNIQUE(TableNOM[version_number]))</f>
        <v>0</v>
      </c>
      <c r="O2"/>
      <c r="P2"/>
    </row>
    <row r="3" spans="1:21" x14ac:dyDescent="0.3">
      <c r="A3" t="s">
        <v>17</v>
      </c>
      <c r="B3" t="s">
        <v>18</v>
      </c>
      <c r="C3" t="s">
        <v>19</v>
      </c>
      <c r="D3" t="s">
        <v>20</v>
      </c>
      <c r="E3" t="s">
        <v>590</v>
      </c>
      <c r="F3" t="s">
        <v>350</v>
      </c>
      <c r="G3" t="s">
        <v>2</v>
      </c>
      <c r="H3" t="s">
        <v>41</v>
      </c>
      <c r="I3" t="s">
        <v>37</v>
      </c>
      <c r="J3" t="s">
        <v>0</v>
      </c>
      <c r="K3" t="s">
        <v>1</v>
      </c>
      <c r="L3" t="s">
        <v>42</v>
      </c>
      <c r="M3" t="s">
        <v>43</v>
      </c>
      <c r="N3" t="s">
        <v>44</v>
      </c>
      <c r="O3" t="s">
        <v>188</v>
      </c>
      <c r="P3" t="s">
        <v>67</v>
      </c>
      <c r="Q3" t="s">
        <v>66</v>
      </c>
      <c r="R3" t="s">
        <v>345</v>
      </c>
      <c r="S3" t="s">
        <v>38</v>
      </c>
      <c r="T3" t="s">
        <v>346</v>
      </c>
      <c r="U3" t="s">
        <v>347</v>
      </c>
    </row>
    <row r="4" spans="1:21" x14ac:dyDescent="0.3">
      <c r="A4" s="1"/>
      <c r="B4" s="2"/>
      <c r="F4" s="1"/>
      <c r="G4" s="1"/>
      <c r="H4" s="1"/>
      <c r="J4" s="2"/>
      <c r="K4" s="2"/>
      <c r="L4" s="1"/>
      <c r="M4" s="1"/>
      <c r="N4" s="1"/>
      <c r="Q4" s="1"/>
      <c r="R4" s="1"/>
      <c r="S4" s="1"/>
      <c r="T4" s="2"/>
      <c r="U4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C9A0-5463-4010-BBB2-AF2B61EA28B8}">
  <sheetPr codeName="shtDefinitions"/>
  <dimension ref="A2:R388"/>
  <sheetViews>
    <sheetView showGridLines="0" topLeftCell="E3" workbookViewId="0">
      <selection activeCell="F3" activeCellId="1" sqref="L3:M7 F3:J96"/>
    </sheetView>
  </sheetViews>
  <sheetFormatPr defaultColWidth="10.6640625" defaultRowHeight="14.4" x14ac:dyDescent="0.3"/>
  <cols>
    <col min="1" max="1" width="7.44140625" bestFit="1" customWidth="1"/>
    <col min="2" max="2" width="14.5546875" bestFit="1" customWidth="1"/>
    <col min="3" max="3" width="12.21875" bestFit="1" customWidth="1"/>
    <col min="4" max="4" width="51.33203125" bestFit="1" customWidth="1"/>
    <col min="6" max="6" width="12.33203125" bestFit="1" customWidth="1"/>
    <col min="7" max="7" width="19.21875" style="13" bestFit="1" customWidth="1"/>
    <col min="8" max="8" width="14.5546875" style="13" bestFit="1" customWidth="1"/>
    <col min="9" max="9" width="12.21875" style="13" bestFit="1" customWidth="1"/>
    <col min="10" max="10" width="80.88671875" style="10" bestFit="1" customWidth="1"/>
    <col min="11" max="11" width="6.6640625" bestFit="1" customWidth="1"/>
    <col min="12" max="12" width="11.88671875" style="8" bestFit="1" customWidth="1"/>
    <col min="13" max="13" width="14" bestFit="1" customWidth="1"/>
    <col min="14" max="14" width="6.44140625" customWidth="1"/>
    <col min="15" max="15" width="15.77734375" style="8" bestFit="1" customWidth="1"/>
    <col min="16" max="16" width="21.5546875" bestFit="1" customWidth="1"/>
    <col min="17" max="17" width="13.6640625" style="8" bestFit="1" customWidth="1"/>
    <col min="18" max="18" width="16.77734375" bestFit="1" customWidth="1"/>
  </cols>
  <sheetData>
    <row r="2" spans="1:18" x14ac:dyDescent="0.3">
      <c r="A2" s="13" t="s">
        <v>2</v>
      </c>
      <c r="B2" s="13" t="s">
        <v>0</v>
      </c>
      <c r="C2" s="13" t="s">
        <v>1</v>
      </c>
      <c r="D2" s="10" t="s">
        <v>3</v>
      </c>
      <c r="F2" s="13" t="s">
        <v>345</v>
      </c>
      <c r="G2" s="13" t="s">
        <v>38</v>
      </c>
      <c r="H2" s="13" t="s">
        <v>0</v>
      </c>
      <c r="I2" s="13" t="s">
        <v>1</v>
      </c>
      <c r="J2" s="10" t="s">
        <v>3</v>
      </c>
      <c r="L2" s="8" t="s">
        <v>37</v>
      </c>
      <c r="M2" t="s">
        <v>3</v>
      </c>
      <c r="O2" s="8" t="s">
        <v>39</v>
      </c>
      <c r="P2" t="s">
        <v>190</v>
      </c>
      <c r="Q2" s="8" t="s">
        <v>40</v>
      </c>
      <c r="R2" t="s">
        <v>189</v>
      </c>
    </row>
    <row r="3" spans="1:18" x14ac:dyDescent="0.3">
      <c r="A3" s="14"/>
      <c r="B3" s="15"/>
      <c r="C3" s="15"/>
      <c r="D3" s="11"/>
      <c r="F3" s="14"/>
      <c r="G3" s="14"/>
      <c r="H3" s="15"/>
      <c r="I3" s="15"/>
      <c r="J3" s="12"/>
      <c r="M3" s="1"/>
      <c r="O3" s="9"/>
      <c r="P3" s="1"/>
      <c r="Q3" s="9"/>
      <c r="R3" s="1"/>
    </row>
    <row r="4" spans="1:18" x14ac:dyDescent="0.3">
      <c r="O4"/>
      <c r="Q4"/>
    </row>
    <row r="5" spans="1:18" x14ac:dyDescent="0.3">
      <c r="O5"/>
      <c r="Q5"/>
    </row>
    <row r="6" spans="1:18" x14ac:dyDescent="0.3">
      <c r="O6"/>
      <c r="Q6"/>
    </row>
    <row r="7" spans="1:18" x14ac:dyDescent="0.3">
      <c r="O7"/>
      <c r="Q7"/>
    </row>
    <row r="8" spans="1:18" x14ac:dyDescent="0.3">
      <c r="O8"/>
      <c r="Q8"/>
    </row>
    <row r="9" spans="1:18" x14ac:dyDescent="0.3">
      <c r="O9"/>
      <c r="Q9"/>
    </row>
    <row r="10" spans="1:18" x14ac:dyDescent="0.3">
      <c r="O10"/>
      <c r="Q10"/>
    </row>
    <row r="11" spans="1:18" x14ac:dyDescent="0.3">
      <c r="O11"/>
      <c r="Q11"/>
    </row>
    <row r="12" spans="1:18" x14ac:dyDescent="0.3">
      <c r="O12"/>
      <c r="Q12"/>
    </row>
    <row r="13" spans="1:18" x14ac:dyDescent="0.3">
      <c r="O13"/>
      <c r="Q13"/>
    </row>
    <row r="14" spans="1:18" x14ac:dyDescent="0.3">
      <c r="O14"/>
      <c r="Q14"/>
    </row>
    <row r="15" spans="1:18" x14ac:dyDescent="0.3">
      <c r="O15"/>
      <c r="Q15"/>
    </row>
    <row r="16" spans="1:18" x14ac:dyDescent="0.3">
      <c r="O16"/>
      <c r="Q16"/>
    </row>
    <row r="17" spans="15:17" x14ac:dyDescent="0.3">
      <c r="O17"/>
      <c r="Q17"/>
    </row>
    <row r="18" spans="15:17" x14ac:dyDescent="0.3">
      <c r="O18"/>
      <c r="Q18"/>
    </row>
    <row r="19" spans="15:17" x14ac:dyDescent="0.3">
      <c r="O19"/>
      <c r="Q19"/>
    </row>
    <row r="20" spans="15:17" x14ac:dyDescent="0.3">
      <c r="O20"/>
      <c r="Q20"/>
    </row>
    <row r="21" spans="15:17" x14ac:dyDescent="0.3">
      <c r="O21"/>
      <c r="Q21"/>
    </row>
    <row r="22" spans="15:17" x14ac:dyDescent="0.3">
      <c r="O22"/>
      <c r="Q22"/>
    </row>
    <row r="23" spans="15:17" x14ac:dyDescent="0.3">
      <c r="O23"/>
      <c r="Q23"/>
    </row>
    <row r="24" spans="15:17" x14ac:dyDescent="0.3">
      <c r="O24"/>
      <c r="Q24"/>
    </row>
    <row r="25" spans="15:17" x14ac:dyDescent="0.3">
      <c r="O25"/>
      <c r="Q25"/>
    </row>
    <row r="26" spans="15:17" x14ac:dyDescent="0.3">
      <c r="O26"/>
      <c r="Q26"/>
    </row>
    <row r="27" spans="15:17" x14ac:dyDescent="0.3">
      <c r="O27"/>
      <c r="Q27"/>
    </row>
    <row r="28" spans="15:17" x14ac:dyDescent="0.3">
      <c r="O28"/>
      <c r="Q28"/>
    </row>
    <row r="29" spans="15:17" x14ac:dyDescent="0.3">
      <c r="O29"/>
      <c r="Q29"/>
    </row>
    <row r="30" spans="15:17" x14ac:dyDescent="0.3">
      <c r="O30"/>
      <c r="Q30"/>
    </row>
    <row r="31" spans="15:17" x14ac:dyDescent="0.3">
      <c r="O31"/>
      <c r="Q31"/>
    </row>
    <row r="32" spans="15:17" x14ac:dyDescent="0.3">
      <c r="O32"/>
      <c r="Q32"/>
    </row>
    <row r="33" spans="15:17" x14ac:dyDescent="0.3">
      <c r="O33"/>
      <c r="Q33"/>
    </row>
    <row r="34" spans="15:17" x14ac:dyDescent="0.3">
      <c r="O34"/>
      <c r="Q34"/>
    </row>
    <row r="35" spans="15:17" x14ac:dyDescent="0.3">
      <c r="O35"/>
      <c r="Q35"/>
    </row>
    <row r="36" spans="15:17" x14ac:dyDescent="0.3">
      <c r="O36"/>
      <c r="Q36"/>
    </row>
    <row r="37" spans="15:17" x14ac:dyDescent="0.3">
      <c r="O37"/>
      <c r="Q37"/>
    </row>
    <row r="38" spans="15:17" x14ac:dyDescent="0.3">
      <c r="O38"/>
      <c r="Q38"/>
    </row>
    <row r="39" spans="15:17" x14ac:dyDescent="0.3">
      <c r="O39"/>
      <c r="Q39"/>
    </row>
    <row r="40" spans="15:17" x14ac:dyDescent="0.3">
      <c r="O40"/>
      <c r="Q40"/>
    </row>
    <row r="41" spans="15:17" x14ac:dyDescent="0.3">
      <c r="O41"/>
      <c r="Q41"/>
    </row>
    <row r="42" spans="15:17" x14ac:dyDescent="0.3">
      <c r="O42"/>
      <c r="Q42"/>
    </row>
    <row r="43" spans="15:17" x14ac:dyDescent="0.3">
      <c r="O43"/>
      <c r="Q43"/>
    </row>
    <row r="44" spans="15:17" x14ac:dyDescent="0.3">
      <c r="O44"/>
      <c r="Q44"/>
    </row>
    <row r="45" spans="15:17" x14ac:dyDescent="0.3">
      <c r="O45"/>
      <c r="Q45"/>
    </row>
    <row r="46" spans="15:17" x14ac:dyDescent="0.3">
      <c r="O46"/>
      <c r="Q46"/>
    </row>
    <row r="47" spans="15:17" x14ac:dyDescent="0.3">
      <c r="O47"/>
      <c r="Q47"/>
    </row>
    <row r="48" spans="15:17" x14ac:dyDescent="0.3">
      <c r="O48"/>
      <c r="Q48"/>
    </row>
    <row r="49" spans="15:17" x14ac:dyDescent="0.3">
      <c r="O49"/>
      <c r="Q49"/>
    </row>
    <row r="50" spans="15:17" x14ac:dyDescent="0.3">
      <c r="O50"/>
      <c r="Q50"/>
    </row>
    <row r="51" spans="15:17" x14ac:dyDescent="0.3">
      <c r="O51"/>
      <c r="Q51"/>
    </row>
    <row r="52" spans="15:17" x14ac:dyDescent="0.3">
      <c r="O52"/>
      <c r="Q52"/>
    </row>
    <row r="53" spans="15:17" x14ac:dyDescent="0.3">
      <c r="O53"/>
      <c r="Q53"/>
    </row>
    <row r="54" spans="15:17" x14ac:dyDescent="0.3">
      <c r="O54"/>
      <c r="Q54"/>
    </row>
    <row r="55" spans="15:17" x14ac:dyDescent="0.3">
      <c r="O55"/>
      <c r="Q55"/>
    </row>
    <row r="56" spans="15:17" x14ac:dyDescent="0.3">
      <c r="O56"/>
      <c r="Q56"/>
    </row>
    <row r="57" spans="15:17" x14ac:dyDescent="0.3">
      <c r="O57"/>
      <c r="Q57"/>
    </row>
    <row r="58" spans="15:17" x14ac:dyDescent="0.3">
      <c r="O58"/>
      <c r="Q58"/>
    </row>
    <row r="59" spans="15:17" x14ac:dyDescent="0.3">
      <c r="O59"/>
      <c r="Q59"/>
    </row>
    <row r="60" spans="15:17" x14ac:dyDescent="0.3">
      <c r="O60"/>
      <c r="Q60"/>
    </row>
    <row r="61" spans="15:17" x14ac:dyDescent="0.3">
      <c r="O61"/>
      <c r="Q61"/>
    </row>
    <row r="62" spans="15:17" x14ac:dyDescent="0.3">
      <c r="O62"/>
      <c r="Q62"/>
    </row>
    <row r="63" spans="15:17" x14ac:dyDescent="0.3">
      <c r="O63"/>
      <c r="Q63"/>
    </row>
    <row r="64" spans="15:17" x14ac:dyDescent="0.3">
      <c r="O64"/>
      <c r="Q64"/>
    </row>
    <row r="65" spans="15:17" x14ac:dyDescent="0.3">
      <c r="O65"/>
      <c r="Q65"/>
    </row>
    <row r="66" spans="15:17" x14ac:dyDescent="0.3">
      <c r="O66"/>
      <c r="Q66"/>
    </row>
    <row r="67" spans="15:17" x14ac:dyDescent="0.3">
      <c r="O67"/>
      <c r="Q67"/>
    </row>
    <row r="68" spans="15:17" x14ac:dyDescent="0.3">
      <c r="O68"/>
      <c r="Q68"/>
    </row>
    <row r="69" spans="15:17" x14ac:dyDescent="0.3">
      <c r="O69"/>
      <c r="Q69"/>
    </row>
    <row r="70" spans="15:17" x14ac:dyDescent="0.3">
      <c r="O70"/>
      <c r="Q70"/>
    </row>
    <row r="71" spans="15:17" x14ac:dyDescent="0.3">
      <c r="O71"/>
      <c r="Q71"/>
    </row>
    <row r="72" spans="15:17" x14ac:dyDescent="0.3">
      <c r="O72"/>
      <c r="Q72"/>
    </row>
    <row r="73" spans="15:17" x14ac:dyDescent="0.3">
      <c r="O73"/>
      <c r="Q73"/>
    </row>
    <row r="74" spans="15:17" x14ac:dyDescent="0.3">
      <c r="O74"/>
      <c r="Q74"/>
    </row>
    <row r="75" spans="15:17" x14ac:dyDescent="0.3">
      <c r="O75"/>
      <c r="Q75"/>
    </row>
    <row r="76" spans="15:17" x14ac:dyDescent="0.3">
      <c r="O76"/>
      <c r="Q76"/>
    </row>
    <row r="77" spans="15:17" x14ac:dyDescent="0.3">
      <c r="O77"/>
      <c r="Q77"/>
    </row>
    <row r="78" spans="15:17" x14ac:dyDescent="0.3">
      <c r="O78"/>
      <c r="Q78"/>
    </row>
    <row r="79" spans="15:17" x14ac:dyDescent="0.3">
      <c r="O79"/>
      <c r="Q79"/>
    </row>
    <row r="80" spans="15:17" x14ac:dyDescent="0.3">
      <c r="O80"/>
      <c r="Q80"/>
    </row>
    <row r="81" spans="15:17" x14ac:dyDescent="0.3">
      <c r="O81"/>
      <c r="Q81"/>
    </row>
    <row r="82" spans="15:17" x14ac:dyDescent="0.3">
      <c r="O82"/>
      <c r="Q82"/>
    </row>
    <row r="83" spans="15:17" x14ac:dyDescent="0.3">
      <c r="O83"/>
      <c r="Q83"/>
    </row>
    <row r="84" spans="15:17" x14ac:dyDescent="0.3">
      <c r="O84"/>
      <c r="Q84"/>
    </row>
    <row r="85" spans="15:17" x14ac:dyDescent="0.3">
      <c r="O85"/>
      <c r="Q85"/>
    </row>
    <row r="86" spans="15:17" x14ac:dyDescent="0.3">
      <c r="O86"/>
      <c r="Q86"/>
    </row>
    <row r="87" spans="15:17" x14ac:dyDescent="0.3">
      <c r="O87"/>
      <c r="Q87"/>
    </row>
    <row r="88" spans="15:17" x14ac:dyDescent="0.3">
      <c r="O88"/>
      <c r="Q88"/>
    </row>
    <row r="89" spans="15:17" x14ac:dyDescent="0.3">
      <c r="O89"/>
      <c r="Q89"/>
    </row>
    <row r="90" spans="15:17" x14ac:dyDescent="0.3">
      <c r="O90"/>
      <c r="Q90"/>
    </row>
    <row r="91" spans="15:17" x14ac:dyDescent="0.3">
      <c r="O91"/>
      <c r="Q91"/>
    </row>
    <row r="92" spans="15:17" x14ac:dyDescent="0.3">
      <c r="O92"/>
      <c r="Q92"/>
    </row>
    <row r="93" spans="15:17" x14ac:dyDescent="0.3">
      <c r="O93"/>
      <c r="Q93"/>
    </row>
    <row r="94" spans="15:17" x14ac:dyDescent="0.3">
      <c r="O94"/>
      <c r="Q94"/>
    </row>
    <row r="95" spans="15:17" x14ac:dyDescent="0.3">
      <c r="O95"/>
      <c r="Q95"/>
    </row>
    <row r="96" spans="15:17" x14ac:dyDescent="0.3">
      <c r="O96"/>
      <c r="Q96"/>
    </row>
    <row r="97" spans="15:17" x14ac:dyDescent="0.3">
      <c r="O97"/>
      <c r="Q97"/>
    </row>
    <row r="98" spans="15:17" x14ac:dyDescent="0.3">
      <c r="O98"/>
      <c r="Q98"/>
    </row>
    <row r="99" spans="15:17" x14ac:dyDescent="0.3">
      <c r="O99"/>
      <c r="Q99"/>
    </row>
    <row r="100" spans="15:17" x14ac:dyDescent="0.3">
      <c r="O100"/>
      <c r="Q100"/>
    </row>
    <row r="101" spans="15:17" x14ac:dyDescent="0.3">
      <c r="O101"/>
      <c r="Q101"/>
    </row>
    <row r="102" spans="15:17" x14ac:dyDescent="0.3">
      <c r="O102"/>
      <c r="Q102"/>
    </row>
    <row r="103" spans="15:17" x14ac:dyDescent="0.3">
      <c r="O103"/>
      <c r="Q103"/>
    </row>
    <row r="104" spans="15:17" x14ac:dyDescent="0.3">
      <c r="O104"/>
      <c r="Q104"/>
    </row>
    <row r="105" spans="15:17" x14ac:dyDescent="0.3">
      <c r="O105"/>
      <c r="Q105"/>
    </row>
    <row r="106" spans="15:17" x14ac:dyDescent="0.3">
      <c r="O106"/>
      <c r="Q106"/>
    </row>
    <row r="107" spans="15:17" x14ac:dyDescent="0.3">
      <c r="O107"/>
      <c r="Q107"/>
    </row>
    <row r="108" spans="15:17" x14ac:dyDescent="0.3">
      <c r="O108"/>
      <c r="Q108"/>
    </row>
    <row r="109" spans="15:17" x14ac:dyDescent="0.3">
      <c r="O109"/>
      <c r="Q109"/>
    </row>
    <row r="110" spans="15:17" x14ac:dyDescent="0.3">
      <c r="O110"/>
      <c r="Q110"/>
    </row>
    <row r="111" spans="15:17" x14ac:dyDescent="0.3">
      <c r="O111"/>
      <c r="Q111"/>
    </row>
    <row r="112" spans="15:17" x14ac:dyDescent="0.3">
      <c r="O112"/>
      <c r="Q112"/>
    </row>
    <row r="113" spans="15:17" x14ac:dyDescent="0.3">
      <c r="O113"/>
      <c r="Q113"/>
    </row>
    <row r="114" spans="15:17" x14ac:dyDescent="0.3">
      <c r="O114"/>
      <c r="Q114"/>
    </row>
    <row r="115" spans="15:17" x14ac:dyDescent="0.3">
      <c r="O115"/>
      <c r="Q115"/>
    </row>
    <row r="116" spans="15:17" x14ac:dyDescent="0.3">
      <c r="O116"/>
      <c r="Q116"/>
    </row>
    <row r="117" spans="15:17" x14ac:dyDescent="0.3">
      <c r="O117"/>
      <c r="Q117"/>
    </row>
    <row r="118" spans="15:17" x14ac:dyDescent="0.3">
      <c r="O118"/>
      <c r="Q118"/>
    </row>
    <row r="119" spans="15:17" x14ac:dyDescent="0.3">
      <c r="O119"/>
      <c r="Q119"/>
    </row>
    <row r="120" spans="15:17" x14ac:dyDescent="0.3">
      <c r="O120"/>
      <c r="Q120"/>
    </row>
    <row r="121" spans="15:17" x14ac:dyDescent="0.3">
      <c r="O121"/>
      <c r="Q121"/>
    </row>
    <row r="122" spans="15:17" x14ac:dyDescent="0.3">
      <c r="O122"/>
      <c r="Q122"/>
    </row>
    <row r="123" spans="15:17" x14ac:dyDescent="0.3">
      <c r="O123"/>
      <c r="Q123"/>
    </row>
    <row r="124" spans="15:17" x14ac:dyDescent="0.3">
      <c r="O124"/>
      <c r="Q124"/>
    </row>
    <row r="125" spans="15:17" x14ac:dyDescent="0.3">
      <c r="O125"/>
      <c r="Q125"/>
    </row>
    <row r="126" spans="15:17" x14ac:dyDescent="0.3">
      <c r="O126"/>
      <c r="Q126"/>
    </row>
    <row r="127" spans="15:17" x14ac:dyDescent="0.3">
      <c r="O127"/>
      <c r="Q127"/>
    </row>
    <row r="128" spans="15:17" x14ac:dyDescent="0.3">
      <c r="O128"/>
      <c r="Q128"/>
    </row>
    <row r="129" spans="15:17" x14ac:dyDescent="0.3">
      <c r="O129"/>
      <c r="Q129"/>
    </row>
    <row r="130" spans="15:17" x14ac:dyDescent="0.3">
      <c r="O130"/>
      <c r="Q130"/>
    </row>
    <row r="131" spans="15:17" x14ac:dyDescent="0.3">
      <c r="O131"/>
      <c r="Q131"/>
    </row>
    <row r="132" spans="15:17" x14ac:dyDescent="0.3">
      <c r="O132"/>
      <c r="Q132"/>
    </row>
    <row r="133" spans="15:17" x14ac:dyDescent="0.3">
      <c r="O133"/>
      <c r="Q133"/>
    </row>
    <row r="134" spans="15:17" x14ac:dyDescent="0.3">
      <c r="O134"/>
      <c r="Q134"/>
    </row>
    <row r="135" spans="15:17" x14ac:dyDescent="0.3">
      <c r="O135"/>
      <c r="Q135"/>
    </row>
    <row r="136" spans="15:17" x14ac:dyDescent="0.3">
      <c r="O136"/>
      <c r="Q136"/>
    </row>
    <row r="137" spans="15:17" x14ac:dyDescent="0.3">
      <c r="O137"/>
      <c r="Q137"/>
    </row>
    <row r="138" spans="15:17" x14ac:dyDescent="0.3">
      <c r="O138"/>
      <c r="Q138"/>
    </row>
    <row r="139" spans="15:17" x14ac:dyDescent="0.3">
      <c r="O139"/>
      <c r="Q139"/>
    </row>
    <row r="140" spans="15:17" x14ac:dyDescent="0.3">
      <c r="O140"/>
      <c r="Q140"/>
    </row>
    <row r="141" spans="15:17" x14ac:dyDescent="0.3">
      <c r="O141"/>
      <c r="Q141"/>
    </row>
    <row r="142" spans="15:17" x14ac:dyDescent="0.3">
      <c r="O142"/>
      <c r="Q142"/>
    </row>
    <row r="143" spans="15:17" x14ac:dyDescent="0.3">
      <c r="O143"/>
      <c r="Q143"/>
    </row>
    <row r="144" spans="15:17" x14ac:dyDescent="0.3">
      <c r="O144"/>
      <c r="Q144"/>
    </row>
    <row r="145" spans="15:17" x14ac:dyDescent="0.3">
      <c r="O145"/>
      <c r="Q145"/>
    </row>
    <row r="146" spans="15:17" x14ac:dyDescent="0.3">
      <c r="O146"/>
      <c r="Q146"/>
    </row>
    <row r="147" spans="15:17" x14ac:dyDescent="0.3">
      <c r="O147"/>
      <c r="Q147"/>
    </row>
    <row r="148" spans="15:17" x14ac:dyDescent="0.3">
      <c r="O148"/>
      <c r="Q148"/>
    </row>
    <row r="149" spans="15:17" x14ac:dyDescent="0.3">
      <c r="O149"/>
      <c r="Q149"/>
    </row>
    <row r="150" spans="15:17" x14ac:dyDescent="0.3">
      <c r="O150"/>
      <c r="Q150"/>
    </row>
    <row r="151" spans="15:17" x14ac:dyDescent="0.3">
      <c r="O151"/>
      <c r="Q151"/>
    </row>
    <row r="152" spans="15:17" x14ac:dyDescent="0.3">
      <c r="O152"/>
      <c r="Q152"/>
    </row>
    <row r="153" spans="15:17" x14ac:dyDescent="0.3">
      <c r="O153"/>
      <c r="Q153"/>
    </row>
    <row r="154" spans="15:17" x14ac:dyDescent="0.3">
      <c r="O154"/>
      <c r="Q154"/>
    </row>
    <row r="155" spans="15:17" x14ac:dyDescent="0.3">
      <c r="O155"/>
      <c r="Q155"/>
    </row>
    <row r="156" spans="15:17" x14ac:dyDescent="0.3">
      <c r="O156"/>
      <c r="Q156"/>
    </row>
    <row r="157" spans="15:17" x14ac:dyDescent="0.3">
      <c r="O157"/>
      <c r="Q157"/>
    </row>
    <row r="158" spans="15:17" x14ac:dyDescent="0.3">
      <c r="O158"/>
      <c r="Q158"/>
    </row>
    <row r="159" spans="15:17" x14ac:dyDescent="0.3">
      <c r="O159"/>
      <c r="Q159"/>
    </row>
    <row r="160" spans="15:17" x14ac:dyDescent="0.3">
      <c r="O160"/>
      <c r="Q160"/>
    </row>
    <row r="161" spans="15:17" x14ac:dyDescent="0.3">
      <c r="O161"/>
      <c r="Q161"/>
    </row>
    <row r="162" spans="15:17" x14ac:dyDescent="0.3">
      <c r="O162"/>
      <c r="Q162"/>
    </row>
    <row r="163" spans="15:17" x14ac:dyDescent="0.3">
      <c r="O163"/>
      <c r="Q163"/>
    </row>
    <row r="164" spans="15:17" x14ac:dyDescent="0.3">
      <c r="O164"/>
      <c r="Q164"/>
    </row>
    <row r="165" spans="15:17" x14ac:dyDescent="0.3">
      <c r="O165"/>
      <c r="Q165"/>
    </row>
    <row r="166" spans="15:17" x14ac:dyDescent="0.3">
      <c r="O166"/>
      <c r="Q166"/>
    </row>
    <row r="167" spans="15:17" x14ac:dyDescent="0.3">
      <c r="O167"/>
      <c r="Q167"/>
    </row>
    <row r="168" spans="15:17" x14ac:dyDescent="0.3">
      <c r="O168"/>
      <c r="Q168"/>
    </row>
    <row r="169" spans="15:17" x14ac:dyDescent="0.3">
      <c r="O169"/>
      <c r="Q169"/>
    </row>
    <row r="170" spans="15:17" x14ac:dyDescent="0.3">
      <c r="O170"/>
      <c r="Q170"/>
    </row>
    <row r="171" spans="15:17" x14ac:dyDescent="0.3">
      <c r="O171"/>
      <c r="Q171"/>
    </row>
    <row r="172" spans="15:17" x14ac:dyDescent="0.3">
      <c r="O172"/>
      <c r="Q172"/>
    </row>
    <row r="173" spans="15:17" x14ac:dyDescent="0.3">
      <c r="O173"/>
      <c r="Q173"/>
    </row>
    <row r="174" spans="15:17" x14ac:dyDescent="0.3">
      <c r="O174"/>
      <c r="Q174"/>
    </row>
    <row r="175" spans="15:17" x14ac:dyDescent="0.3">
      <c r="O175"/>
      <c r="Q175"/>
    </row>
    <row r="176" spans="15:17" x14ac:dyDescent="0.3">
      <c r="O176"/>
      <c r="Q176"/>
    </row>
    <row r="177" spans="15:17" x14ac:dyDescent="0.3">
      <c r="O177"/>
      <c r="Q177"/>
    </row>
    <row r="178" spans="15:17" x14ac:dyDescent="0.3">
      <c r="O178"/>
      <c r="Q178"/>
    </row>
    <row r="179" spans="15:17" x14ac:dyDescent="0.3">
      <c r="O179"/>
      <c r="Q179"/>
    </row>
    <row r="180" spans="15:17" x14ac:dyDescent="0.3">
      <c r="O180"/>
      <c r="Q180"/>
    </row>
    <row r="181" spans="15:17" x14ac:dyDescent="0.3">
      <c r="O181"/>
      <c r="Q181"/>
    </row>
    <row r="182" spans="15:17" x14ac:dyDescent="0.3">
      <c r="O182"/>
      <c r="Q182"/>
    </row>
    <row r="183" spans="15:17" x14ac:dyDescent="0.3">
      <c r="O183"/>
      <c r="Q183"/>
    </row>
    <row r="184" spans="15:17" x14ac:dyDescent="0.3">
      <c r="O184"/>
      <c r="Q184"/>
    </row>
    <row r="185" spans="15:17" x14ac:dyDescent="0.3">
      <c r="O185"/>
      <c r="Q185"/>
    </row>
    <row r="186" spans="15:17" x14ac:dyDescent="0.3">
      <c r="O186"/>
      <c r="Q186"/>
    </row>
    <row r="187" spans="15:17" x14ac:dyDescent="0.3">
      <c r="O187"/>
      <c r="Q187"/>
    </row>
    <row r="188" spans="15:17" x14ac:dyDescent="0.3">
      <c r="O188"/>
      <c r="Q188"/>
    </row>
    <row r="189" spans="15:17" x14ac:dyDescent="0.3">
      <c r="O189"/>
      <c r="Q189"/>
    </row>
    <row r="190" spans="15:17" x14ac:dyDescent="0.3">
      <c r="O190"/>
      <c r="Q190"/>
    </row>
    <row r="191" spans="15:17" x14ac:dyDescent="0.3">
      <c r="O191"/>
      <c r="Q191"/>
    </row>
    <row r="192" spans="15:17" x14ac:dyDescent="0.3">
      <c r="O192"/>
      <c r="Q192"/>
    </row>
    <row r="193" spans="15:17" x14ac:dyDescent="0.3">
      <c r="O193"/>
      <c r="Q193"/>
    </row>
    <row r="194" spans="15:17" x14ac:dyDescent="0.3">
      <c r="O194"/>
      <c r="Q194"/>
    </row>
    <row r="195" spans="15:17" x14ac:dyDescent="0.3">
      <c r="O195"/>
      <c r="Q195"/>
    </row>
    <row r="196" spans="15:17" x14ac:dyDescent="0.3">
      <c r="O196"/>
      <c r="Q196"/>
    </row>
    <row r="197" spans="15:17" x14ac:dyDescent="0.3">
      <c r="O197"/>
      <c r="Q197"/>
    </row>
    <row r="198" spans="15:17" x14ac:dyDescent="0.3">
      <c r="O198"/>
      <c r="Q198"/>
    </row>
    <row r="199" spans="15:17" x14ac:dyDescent="0.3">
      <c r="O199"/>
      <c r="Q199"/>
    </row>
    <row r="200" spans="15:17" x14ac:dyDescent="0.3">
      <c r="O200"/>
      <c r="Q200"/>
    </row>
    <row r="201" spans="15:17" x14ac:dyDescent="0.3">
      <c r="O201"/>
      <c r="Q201"/>
    </row>
    <row r="202" spans="15:17" x14ac:dyDescent="0.3">
      <c r="O202"/>
      <c r="Q202"/>
    </row>
    <row r="203" spans="15:17" x14ac:dyDescent="0.3">
      <c r="O203"/>
      <c r="Q203"/>
    </row>
    <row r="204" spans="15:17" x14ac:dyDescent="0.3">
      <c r="O204"/>
      <c r="Q204"/>
    </row>
    <row r="205" spans="15:17" x14ac:dyDescent="0.3">
      <c r="O205"/>
      <c r="Q205"/>
    </row>
    <row r="206" spans="15:17" x14ac:dyDescent="0.3">
      <c r="O206"/>
      <c r="Q206"/>
    </row>
    <row r="207" spans="15:17" x14ac:dyDescent="0.3">
      <c r="O207"/>
      <c r="Q207"/>
    </row>
    <row r="208" spans="15:17" x14ac:dyDescent="0.3">
      <c r="O208"/>
      <c r="Q208"/>
    </row>
    <row r="209" spans="15:17" x14ac:dyDescent="0.3">
      <c r="O209"/>
      <c r="Q209"/>
    </row>
    <row r="210" spans="15:17" x14ac:dyDescent="0.3">
      <c r="O210"/>
      <c r="Q210"/>
    </row>
    <row r="211" spans="15:17" x14ac:dyDescent="0.3">
      <c r="O211"/>
      <c r="Q211"/>
    </row>
    <row r="212" spans="15:17" x14ac:dyDescent="0.3">
      <c r="O212"/>
      <c r="Q212"/>
    </row>
    <row r="213" spans="15:17" x14ac:dyDescent="0.3">
      <c r="O213"/>
      <c r="Q213"/>
    </row>
    <row r="214" spans="15:17" x14ac:dyDescent="0.3">
      <c r="O214"/>
      <c r="Q214"/>
    </row>
    <row r="215" spans="15:17" x14ac:dyDescent="0.3">
      <c r="O215"/>
      <c r="Q215"/>
    </row>
    <row r="216" spans="15:17" x14ac:dyDescent="0.3">
      <c r="O216"/>
      <c r="Q216"/>
    </row>
    <row r="217" spans="15:17" x14ac:dyDescent="0.3">
      <c r="O217"/>
      <c r="Q217"/>
    </row>
    <row r="218" spans="15:17" x14ac:dyDescent="0.3">
      <c r="O218"/>
      <c r="Q218"/>
    </row>
    <row r="219" spans="15:17" x14ac:dyDescent="0.3">
      <c r="O219"/>
      <c r="Q219"/>
    </row>
    <row r="220" spans="15:17" x14ac:dyDescent="0.3">
      <c r="O220"/>
      <c r="Q220"/>
    </row>
    <row r="221" spans="15:17" x14ac:dyDescent="0.3">
      <c r="O221"/>
      <c r="Q221"/>
    </row>
    <row r="222" spans="15:17" x14ac:dyDescent="0.3">
      <c r="O222"/>
      <c r="Q222"/>
    </row>
    <row r="223" spans="15:17" x14ac:dyDescent="0.3">
      <c r="O223"/>
      <c r="Q223"/>
    </row>
    <row r="224" spans="15:17" x14ac:dyDescent="0.3">
      <c r="O224"/>
      <c r="Q224"/>
    </row>
    <row r="225" spans="15:17" x14ac:dyDescent="0.3">
      <c r="O225"/>
      <c r="Q225"/>
    </row>
    <row r="226" spans="15:17" x14ac:dyDescent="0.3">
      <c r="O226"/>
      <c r="Q226"/>
    </row>
    <row r="227" spans="15:17" x14ac:dyDescent="0.3">
      <c r="O227"/>
      <c r="Q227"/>
    </row>
    <row r="228" spans="15:17" x14ac:dyDescent="0.3">
      <c r="O228"/>
      <c r="Q228"/>
    </row>
    <row r="229" spans="15:17" x14ac:dyDescent="0.3">
      <c r="O229"/>
      <c r="Q229"/>
    </row>
    <row r="230" spans="15:17" x14ac:dyDescent="0.3">
      <c r="O230"/>
      <c r="Q230"/>
    </row>
    <row r="231" spans="15:17" x14ac:dyDescent="0.3">
      <c r="O231"/>
      <c r="Q231"/>
    </row>
    <row r="232" spans="15:17" x14ac:dyDescent="0.3">
      <c r="O232"/>
      <c r="Q232"/>
    </row>
    <row r="233" spans="15:17" x14ac:dyDescent="0.3">
      <c r="O233"/>
      <c r="Q233"/>
    </row>
    <row r="234" spans="15:17" x14ac:dyDescent="0.3">
      <c r="O234"/>
      <c r="Q234"/>
    </row>
    <row r="235" spans="15:17" x14ac:dyDescent="0.3">
      <c r="O235"/>
      <c r="Q235"/>
    </row>
    <row r="236" spans="15:17" x14ac:dyDescent="0.3">
      <c r="O236"/>
      <c r="Q236"/>
    </row>
    <row r="237" spans="15:17" x14ac:dyDescent="0.3">
      <c r="O237"/>
      <c r="Q237"/>
    </row>
    <row r="238" spans="15:17" x14ac:dyDescent="0.3">
      <c r="O238"/>
      <c r="Q238"/>
    </row>
    <row r="239" spans="15:17" x14ac:dyDescent="0.3">
      <c r="O239"/>
      <c r="Q239"/>
    </row>
    <row r="240" spans="15:17" x14ac:dyDescent="0.3">
      <c r="O240"/>
      <c r="Q240"/>
    </row>
    <row r="241" spans="15:17" x14ac:dyDescent="0.3">
      <c r="O241"/>
      <c r="Q241"/>
    </row>
    <row r="242" spans="15:17" x14ac:dyDescent="0.3">
      <c r="O242"/>
      <c r="Q242"/>
    </row>
    <row r="243" spans="15:17" x14ac:dyDescent="0.3">
      <c r="O243"/>
      <c r="Q243"/>
    </row>
    <row r="244" spans="15:17" x14ac:dyDescent="0.3">
      <c r="O244"/>
      <c r="Q244"/>
    </row>
    <row r="245" spans="15:17" x14ac:dyDescent="0.3">
      <c r="O245"/>
      <c r="Q245"/>
    </row>
    <row r="246" spans="15:17" x14ac:dyDescent="0.3">
      <c r="O246"/>
      <c r="Q246"/>
    </row>
    <row r="247" spans="15:17" x14ac:dyDescent="0.3">
      <c r="O247"/>
      <c r="Q247"/>
    </row>
    <row r="248" spans="15:17" x14ac:dyDescent="0.3">
      <c r="O248"/>
      <c r="Q248"/>
    </row>
    <row r="249" spans="15:17" x14ac:dyDescent="0.3">
      <c r="O249"/>
      <c r="Q249"/>
    </row>
    <row r="250" spans="15:17" x14ac:dyDescent="0.3">
      <c r="O250"/>
      <c r="Q250"/>
    </row>
    <row r="251" spans="15:17" x14ac:dyDescent="0.3">
      <c r="O251"/>
      <c r="Q251"/>
    </row>
    <row r="252" spans="15:17" x14ac:dyDescent="0.3">
      <c r="O252"/>
      <c r="Q252"/>
    </row>
    <row r="253" spans="15:17" x14ac:dyDescent="0.3">
      <c r="O253"/>
      <c r="Q253"/>
    </row>
    <row r="254" spans="15:17" x14ac:dyDescent="0.3">
      <c r="O254"/>
      <c r="Q254"/>
    </row>
    <row r="255" spans="15:17" x14ac:dyDescent="0.3">
      <c r="O255"/>
      <c r="Q255"/>
    </row>
    <row r="256" spans="15:17" x14ac:dyDescent="0.3">
      <c r="O256"/>
      <c r="Q256"/>
    </row>
    <row r="257" spans="15:17" x14ac:dyDescent="0.3">
      <c r="O257"/>
      <c r="Q257"/>
    </row>
    <row r="258" spans="15:17" x14ac:dyDescent="0.3">
      <c r="O258"/>
      <c r="Q258"/>
    </row>
    <row r="259" spans="15:17" x14ac:dyDescent="0.3">
      <c r="O259"/>
      <c r="Q259"/>
    </row>
    <row r="260" spans="15:17" x14ac:dyDescent="0.3">
      <c r="O260"/>
      <c r="Q260"/>
    </row>
    <row r="261" spans="15:17" x14ac:dyDescent="0.3">
      <c r="O261"/>
      <c r="Q261"/>
    </row>
    <row r="262" spans="15:17" x14ac:dyDescent="0.3">
      <c r="O262"/>
      <c r="Q262"/>
    </row>
    <row r="263" spans="15:17" x14ac:dyDescent="0.3">
      <c r="O263"/>
      <c r="Q263"/>
    </row>
    <row r="264" spans="15:17" x14ac:dyDescent="0.3">
      <c r="O264"/>
      <c r="Q264"/>
    </row>
    <row r="265" spans="15:17" x14ac:dyDescent="0.3">
      <c r="O265"/>
      <c r="Q265"/>
    </row>
    <row r="266" spans="15:17" x14ac:dyDescent="0.3">
      <c r="O266"/>
      <c r="Q266"/>
    </row>
    <row r="267" spans="15:17" x14ac:dyDescent="0.3">
      <c r="O267"/>
      <c r="Q267"/>
    </row>
    <row r="268" spans="15:17" x14ac:dyDescent="0.3">
      <c r="O268"/>
      <c r="Q268"/>
    </row>
    <row r="269" spans="15:17" x14ac:dyDescent="0.3">
      <c r="O269"/>
      <c r="Q269"/>
    </row>
    <row r="270" spans="15:17" x14ac:dyDescent="0.3">
      <c r="O270"/>
      <c r="Q270"/>
    </row>
    <row r="271" spans="15:17" x14ac:dyDescent="0.3">
      <c r="O271"/>
      <c r="Q271"/>
    </row>
    <row r="272" spans="15:17" x14ac:dyDescent="0.3">
      <c r="O272"/>
      <c r="Q272"/>
    </row>
    <row r="273" spans="15:17" x14ac:dyDescent="0.3">
      <c r="O273"/>
      <c r="Q273"/>
    </row>
    <row r="274" spans="15:17" x14ac:dyDescent="0.3">
      <c r="O274"/>
      <c r="Q274"/>
    </row>
    <row r="275" spans="15:17" x14ac:dyDescent="0.3">
      <c r="O275"/>
      <c r="Q275"/>
    </row>
    <row r="276" spans="15:17" x14ac:dyDescent="0.3">
      <c r="O276"/>
      <c r="Q276"/>
    </row>
    <row r="277" spans="15:17" x14ac:dyDescent="0.3">
      <c r="O277"/>
      <c r="Q277"/>
    </row>
    <row r="278" spans="15:17" x14ac:dyDescent="0.3">
      <c r="O278"/>
      <c r="Q278"/>
    </row>
    <row r="279" spans="15:17" x14ac:dyDescent="0.3">
      <c r="O279"/>
      <c r="Q279"/>
    </row>
    <row r="280" spans="15:17" x14ac:dyDescent="0.3">
      <c r="O280"/>
      <c r="Q280"/>
    </row>
    <row r="281" spans="15:17" x14ac:dyDescent="0.3">
      <c r="O281"/>
      <c r="Q281"/>
    </row>
    <row r="282" spans="15:17" x14ac:dyDescent="0.3">
      <c r="O282"/>
      <c r="Q282"/>
    </row>
    <row r="283" spans="15:17" x14ac:dyDescent="0.3">
      <c r="O283"/>
      <c r="Q283"/>
    </row>
    <row r="284" spans="15:17" x14ac:dyDescent="0.3">
      <c r="O284"/>
      <c r="Q284"/>
    </row>
    <row r="285" spans="15:17" x14ac:dyDescent="0.3">
      <c r="O285"/>
      <c r="Q285"/>
    </row>
    <row r="286" spans="15:17" x14ac:dyDescent="0.3">
      <c r="O286"/>
      <c r="Q286"/>
    </row>
    <row r="287" spans="15:17" x14ac:dyDescent="0.3">
      <c r="O287"/>
      <c r="Q287"/>
    </row>
    <row r="288" spans="15:17" x14ac:dyDescent="0.3">
      <c r="O288"/>
      <c r="Q288"/>
    </row>
    <row r="289" spans="15:17" x14ac:dyDescent="0.3">
      <c r="O289"/>
      <c r="Q289"/>
    </row>
    <row r="290" spans="15:17" x14ac:dyDescent="0.3">
      <c r="O290"/>
      <c r="Q290"/>
    </row>
    <row r="291" spans="15:17" x14ac:dyDescent="0.3">
      <c r="O291"/>
      <c r="Q291"/>
    </row>
    <row r="292" spans="15:17" x14ac:dyDescent="0.3">
      <c r="O292"/>
      <c r="Q292"/>
    </row>
    <row r="293" spans="15:17" x14ac:dyDescent="0.3">
      <c r="O293"/>
      <c r="Q293"/>
    </row>
    <row r="294" spans="15:17" x14ac:dyDescent="0.3">
      <c r="O294"/>
      <c r="Q294"/>
    </row>
    <row r="295" spans="15:17" x14ac:dyDescent="0.3">
      <c r="O295"/>
      <c r="Q295"/>
    </row>
    <row r="296" spans="15:17" x14ac:dyDescent="0.3">
      <c r="O296"/>
      <c r="Q296"/>
    </row>
    <row r="297" spans="15:17" x14ac:dyDescent="0.3">
      <c r="O297"/>
      <c r="Q297"/>
    </row>
    <row r="298" spans="15:17" x14ac:dyDescent="0.3">
      <c r="O298"/>
      <c r="Q298"/>
    </row>
    <row r="299" spans="15:17" x14ac:dyDescent="0.3">
      <c r="O299"/>
      <c r="Q299"/>
    </row>
    <row r="300" spans="15:17" x14ac:dyDescent="0.3">
      <c r="O300"/>
      <c r="Q300"/>
    </row>
    <row r="301" spans="15:17" x14ac:dyDescent="0.3">
      <c r="O301"/>
      <c r="Q301"/>
    </row>
    <row r="302" spans="15:17" x14ac:dyDescent="0.3">
      <c r="O302"/>
      <c r="Q302"/>
    </row>
    <row r="303" spans="15:17" x14ac:dyDescent="0.3">
      <c r="O303"/>
      <c r="Q303"/>
    </row>
    <row r="304" spans="15:17" x14ac:dyDescent="0.3">
      <c r="O304"/>
      <c r="Q304"/>
    </row>
    <row r="305" spans="15:17" x14ac:dyDescent="0.3">
      <c r="O305"/>
      <c r="Q305"/>
    </row>
    <row r="306" spans="15:17" x14ac:dyDescent="0.3">
      <c r="O306"/>
      <c r="Q306"/>
    </row>
    <row r="307" spans="15:17" x14ac:dyDescent="0.3">
      <c r="O307"/>
      <c r="Q307"/>
    </row>
    <row r="308" spans="15:17" x14ac:dyDescent="0.3">
      <c r="O308"/>
      <c r="Q308"/>
    </row>
    <row r="309" spans="15:17" x14ac:dyDescent="0.3">
      <c r="O309"/>
      <c r="Q309"/>
    </row>
    <row r="310" spans="15:17" x14ac:dyDescent="0.3">
      <c r="O310"/>
      <c r="Q310"/>
    </row>
    <row r="311" spans="15:17" x14ac:dyDescent="0.3">
      <c r="O311"/>
      <c r="Q311"/>
    </row>
    <row r="312" spans="15:17" x14ac:dyDescent="0.3">
      <c r="O312"/>
      <c r="Q312"/>
    </row>
    <row r="313" spans="15:17" x14ac:dyDescent="0.3">
      <c r="O313"/>
      <c r="Q313"/>
    </row>
    <row r="314" spans="15:17" x14ac:dyDescent="0.3">
      <c r="O314"/>
      <c r="Q314"/>
    </row>
    <row r="315" spans="15:17" x14ac:dyDescent="0.3">
      <c r="O315"/>
      <c r="Q315"/>
    </row>
    <row r="316" spans="15:17" x14ac:dyDescent="0.3">
      <c r="O316"/>
      <c r="Q316"/>
    </row>
    <row r="317" spans="15:17" x14ac:dyDescent="0.3">
      <c r="O317"/>
      <c r="Q317"/>
    </row>
    <row r="318" spans="15:17" x14ac:dyDescent="0.3">
      <c r="O318"/>
      <c r="Q318"/>
    </row>
    <row r="319" spans="15:17" x14ac:dyDescent="0.3">
      <c r="O319"/>
      <c r="Q319"/>
    </row>
    <row r="320" spans="15:17" x14ac:dyDescent="0.3">
      <c r="O320"/>
      <c r="Q320"/>
    </row>
    <row r="321" spans="15:17" x14ac:dyDescent="0.3">
      <c r="O321"/>
      <c r="Q321"/>
    </row>
    <row r="322" spans="15:17" x14ac:dyDescent="0.3">
      <c r="O322"/>
      <c r="Q322"/>
    </row>
    <row r="323" spans="15:17" x14ac:dyDescent="0.3">
      <c r="O323"/>
      <c r="Q323"/>
    </row>
    <row r="324" spans="15:17" x14ac:dyDescent="0.3">
      <c r="O324"/>
      <c r="Q324"/>
    </row>
    <row r="325" spans="15:17" x14ac:dyDescent="0.3">
      <c r="O325"/>
      <c r="Q325"/>
    </row>
    <row r="326" spans="15:17" x14ac:dyDescent="0.3">
      <c r="O326"/>
      <c r="Q326"/>
    </row>
    <row r="327" spans="15:17" x14ac:dyDescent="0.3">
      <c r="O327"/>
      <c r="Q327"/>
    </row>
    <row r="328" spans="15:17" x14ac:dyDescent="0.3">
      <c r="O328"/>
      <c r="Q328"/>
    </row>
    <row r="329" spans="15:17" x14ac:dyDescent="0.3">
      <c r="O329"/>
      <c r="Q329"/>
    </row>
    <row r="330" spans="15:17" x14ac:dyDescent="0.3">
      <c r="O330"/>
      <c r="Q330"/>
    </row>
    <row r="331" spans="15:17" x14ac:dyDescent="0.3">
      <c r="O331"/>
      <c r="Q331"/>
    </row>
    <row r="332" spans="15:17" x14ac:dyDescent="0.3">
      <c r="O332"/>
      <c r="Q332"/>
    </row>
    <row r="333" spans="15:17" x14ac:dyDescent="0.3">
      <c r="O333"/>
      <c r="Q333"/>
    </row>
    <row r="334" spans="15:17" x14ac:dyDescent="0.3">
      <c r="O334"/>
      <c r="Q334"/>
    </row>
    <row r="335" spans="15:17" x14ac:dyDescent="0.3">
      <c r="O335"/>
      <c r="Q335"/>
    </row>
    <row r="336" spans="15:17" x14ac:dyDescent="0.3">
      <c r="O336"/>
      <c r="Q336"/>
    </row>
    <row r="337" spans="15:17" x14ac:dyDescent="0.3">
      <c r="O337"/>
      <c r="Q337"/>
    </row>
    <row r="338" spans="15:17" x14ac:dyDescent="0.3">
      <c r="O338"/>
      <c r="Q338"/>
    </row>
    <row r="339" spans="15:17" x14ac:dyDescent="0.3">
      <c r="O339"/>
      <c r="Q339"/>
    </row>
    <row r="340" spans="15:17" x14ac:dyDescent="0.3">
      <c r="O340"/>
      <c r="Q340"/>
    </row>
    <row r="341" spans="15:17" x14ac:dyDescent="0.3">
      <c r="O341"/>
      <c r="Q341"/>
    </row>
    <row r="342" spans="15:17" x14ac:dyDescent="0.3">
      <c r="O342"/>
      <c r="Q342"/>
    </row>
    <row r="343" spans="15:17" x14ac:dyDescent="0.3">
      <c r="O343"/>
      <c r="Q343"/>
    </row>
    <row r="344" spans="15:17" x14ac:dyDescent="0.3">
      <c r="O344"/>
      <c r="Q344"/>
    </row>
    <row r="345" spans="15:17" x14ac:dyDescent="0.3">
      <c r="O345"/>
      <c r="Q345"/>
    </row>
    <row r="346" spans="15:17" x14ac:dyDescent="0.3">
      <c r="O346"/>
      <c r="Q346"/>
    </row>
    <row r="347" spans="15:17" x14ac:dyDescent="0.3">
      <c r="O347"/>
      <c r="Q347"/>
    </row>
    <row r="348" spans="15:17" x14ac:dyDescent="0.3">
      <c r="O348"/>
      <c r="Q348"/>
    </row>
    <row r="349" spans="15:17" x14ac:dyDescent="0.3">
      <c r="O349"/>
      <c r="Q349"/>
    </row>
    <row r="350" spans="15:17" x14ac:dyDescent="0.3">
      <c r="O350"/>
      <c r="Q350"/>
    </row>
    <row r="351" spans="15:17" x14ac:dyDescent="0.3">
      <c r="O351"/>
      <c r="Q351"/>
    </row>
    <row r="352" spans="15:17" x14ac:dyDescent="0.3">
      <c r="O352"/>
      <c r="Q352"/>
    </row>
    <row r="353" spans="15:17" x14ac:dyDescent="0.3">
      <c r="O353"/>
      <c r="Q353"/>
    </row>
    <row r="354" spans="15:17" x14ac:dyDescent="0.3">
      <c r="O354"/>
      <c r="Q354"/>
    </row>
    <row r="355" spans="15:17" x14ac:dyDescent="0.3">
      <c r="O355"/>
      <c r="Q355"/>
    </row>
    <row r="356" spans="15:17" x14ac:dyDescent="0.3">
      <c r="O356"/>
      <c r="Q356"/>
    </row>
    <row r="357" spans="15:17" x14ac:dyDescent="0.3">
      <c r="O357"/>
      <c r="Q357"/>
    </row>
    <row r="358" spans="15:17" x14ac:dyDescent="0.3">
      <c r="O358"/>
      <c r="Q358"/>
    </row>
    <row r="359" spans="15:17" x14ac:dyDescent="0.3">
      <c r="O359"/>
      <c r="Q359"/>
    </row>
    <row r="360" spans="15:17" x14ac:dyDescent="0.3">
      <c r="O360"/>
      <c r="Q360"/>
    </row>
    <row r="361" spans="15:17" x14ac:dyDescent="0.3">
      <c r="O361"/>
      <c r="Q361"/>
    </row>
    <row r="362" spans="15:17" x14ac:dyDescent="0.3">
      <c r="O362"/>
      <c r="Q362"/>
    </row>
    <row r="363" spans="15:17" x14ac:dyDescent="0.3">
      <c r="O363"/>
      <c r="Q363"/>
    </row>
    <row r="364" spans="15:17" x14ac:dyDescent="0.3">
      <c r="O364"/>
      <c r="Q364"/>
    </row>
    <row r="365" spans="15:17" x14ac:dyDescent="0.3">
      <c r="O365"/>
      <c r="Q365"/>
    </row>
    <row r="366" spans="15:17" x14ac:dyDescent="0.3">
      <c r="O366"/>
      <c r="Q366"/>
    </row>
    <row r="367" spans="15:17" x14ac:dyDescent="0.3">
      <c r="O367"/>
      <c r="Q367"/>
    </row>
    <row r="368" spans="15:17" x14ac:dyDescent="0.3">
      <c r="O368"/>
      <c r="Q368"/>
    </row>
    <row r="369" spans="15:17" x14ac:dyDescent="0.3">
      <c r="O369"/>
      <c r="Q369"/>
    </row>
    <row r="370" spans="15:17" x14ac:dyDescent="0.3">
      <c r="O370"/>
      <c r="Q370"/>
    </row>
    <row r="371" spans="15:17" x14ac:dyDescent="0.3">
      <c r="O371"/>
      <c r="Q371"/>
    </row>
    <row r="372" spans="15:17" x14ac:dyDescent="0.3">
      <c r="O372"/>
      <c r="Q372"/>
    </row>
    <row r="373" spans="15:17" x14ac:dyDescent="0.3">
      <c r="O373"/>
      <c r="Q373"/>
    </row>
    <row r="374" spans="15:17" x14ac:dyDescent="0.3">
      <c r="O374"/>
      <c r="Q374"/>
    </row>
    <row r="375" spans="15:17" x14ac:dyDescent="0.3">
      <c r="O375"/>
      <c r="Q375"/>
    </row>
    <row r="376" spans="15:17" x14ac:dyDescent="0.3">
      <c r="O376"/>
      <c r="Q376"/>
    </row>
    <row r="377" spans="15:17" x14ac:dyDescent="0.3">
      <c r="O377"/>
      <c r="Q377"/>
    </row>
    <row r="378" spans="15:17" x14ac:dyDescent="0.3">
      <c r="O378"/>
      <c r="Q378"/>
    </row>
    <row r="379" spans="15:17" x14ac:dyDescent="0.3">
      <c r="O379"/>
      <c r="Q379"/>
    </row>
    <row r="380" spans="15:17" x14ac:dyDescent="0.3">
      <c r="O380"/>
      <c r="Q380"/>
    </row>
    <row r="381" spans="15:17" x14ac:dyDescent="0.3">
      <c r="O381"/>
      <c r="Q381"/>
    </row>
    <row r="382" spans="15:17" x14ac:dyDescent="0.3">
      <c r="O382"/>
      <c r="Q382"/>
    </row>
    <row r="383" spans="15:17" x14ac:dyDescent="0.3">
      <c r="O383"/>
      <c r="Q383"/>
    </row>
    <row r="384" spans="15:17" x14ac:dyDescent="0.3">
      <c r="O384"/>
      <c r="Q384"/>
    </row>
    <row r="385" spans="15:17" x14ac:dyDescent="0.3">
      <c r="O385"/>
      <c r="Q385"/>
    </row>
    <row r="386" spans="15:17" x14ac:dyDescent="0.3">
      <c r="O386"/>
      <c r="Q386"/>
    </row>
    <row r="387" spans="15:17" x14ac:dyDescent="0.3">
      <c r="O387"/>
      <c r="Q387"/>
    </row>
    <row r="388" spans="15:17" x14ac:dyDescent="0.3">
      <c r="O388"/>
      <c r="Q388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C20D-2D7E-4106-841C-A536DD831416}">
  <sheetPr codeName="shtZD14"/>
  <dimension ref="A5:AG5"/>
  <sheetViews>
    <sheetView showGridLines="0" workbookViewId="0">
      <selection activeCell="I30" sqref="I30"/>
    </sheetView>
  </sheetViews>
  <sheetFormatPr defaultColWidth="10.6640625" defaultRowHeight="14.4" x14ac:dyDescent="0.3"/>
  <cols>
    <col min="1" max="1" width="10.33203125" bestFit="1" customWidth="1"/>
    <col min="2" max="2" width="13.33203125" bestFit="1" customWidth="1"/>
    <col min="3" max="3" width="12.109375" bestFit="1" customWidth="1"/>
    <col min="4" max="4" width="9.6640625" bestFit="1" customWidth="1"/>
    <col min="5" max="5" width="8.6640625" bestFit="1" customWidth="1"/>
    <col min="6" max="6" width="81.109375" bestFit="1" customWidth="1"/>
    <col min="7" max="12" width="8.88671875" bestFit="1" customWidth="1"/>
    <col min="13" max="13" width="8.6640625" bestFit="1" customWidth="1"/>
    <col min="14" max="14" width="81.109375" bestFit="1" customWidth="1"/>
    <col min="15" max="20" width="9.88671875" bestFit="1" customWidth="1"/>
    <col min="21" max="22" width="17.5546875" bestFit="1" customWidth="1"/>
    <col min="23" max="23" width="11.6640625" bestFit="1" customWidth="1"/>
    <col min="24" max="25" width="11.44140625" bestFit="1" customWidth="1"/>
    <col min="26" max="26" width="13.44140625" bestFit="1" customWidth="1"/>
    <col min="27" max="27" width="14.5546875" bestFit="1" customWidth="1"/>
    <col min="28" max="28" width="11.109375" bestFit="1" customWidth="1"/>
    <col min="29" max="29" width="10.5546875" bestFit="1" customWidth="1"/>
    <col min="30" max="30" width="15" bestFit="1" customWidth="1"/>
    <col min="31" max="31" width="11.44140625" bestFit="1" customWidth="1"/>
    <col min="32" max="32" width="10.109375" bestFit="1" customWidth="1"/>
    <col min="33" max="33" width="9.88671875" bestFit="1" customWidth="1"/>
    <col min="34" max="34" width="10.33203125" bestFit="1" customWidth="1"/>
    <col min="35" max="35" width="9.6640625" bestFit="1" customWidth="1"/>
    <col min="36" max="38" width="9.6640625" customWidth="1"/>
    <col min="39" max="39" width="12" bestFit="1" customWidth="1"/>
    <col min="40" max="40" width="10.6640625" bestFit="1" customWidth="1"/>
    <col min="41" max="41" width="10.44140625" bestFit="1" customWidth="1"/>
    <col min="42" max="42" width="24.5546875" bestFit="1" customWidth="1"/>
    <col min="43" max="43" width="12" bestFit="1" customWidth="1"/>
    <col min="44" max="44" width="10.6640625" bestFit="1" customWidth="1"/>
    <col min="45" max="45" width="10.44140625" bestFit="1" customWidth="1"/>
    <col min="46" max="46" width="24.5546875" bestFit="1" customWidth="1"/>
    <col min="47" max="47" width="12" bestFit="1" customWidth="1"/>
    <col min="48" max="48" width="10.6640625" bestFit="1" customWidth="1"/>
    <col min="49" max="49" width="10.44140625" bestFit="1" customWidth="1"/>
    <col min="50" max="50" width="24.5546875" customWidth="1"/>
    <col min="51" max="51" width="15.44140625" bestFit="1" customWidth="1"/>
    <col min="52" max="52" width="13.33203125" bestFit="1" customWidth="1"/>
    <col min="53" max="53" width="19" bestFit="1" customWidth="1"/>
    <col min="54" max="54" width="20" bestFit="1" customWidth="1"/>
    <col min="55" max="55" width="25" bestFit="1" customWidth="1"/>
    <col min="56" max="56" width="81.33203125" bestFit="1" customWidth="1"/>
    <col min="57" max="57" width="20.33203125" bestFit="1" customWidth="1"/>
    <col min="58" max="58" width="28.6640625" bestFit="1" customWidth="1"/>
    <col min="59" max="59" width="14.5546875" bestFit="1" customWidth="1"/>
    <col min="60" max="60" width="10.6640625" bestFit="1" customWidth="1"/>
    <col min="61" max="61" width="12.33203125" bestFit="1" customWidth="1"/>
    <col min="62" max="62" width="8" bestFit="1" customWidth="1"/>
    <col min="63" max="63" width="22" bestFit="1" customWidth="1"/>
    <col min="64" max="64" width="24.5546875" bestFit="1" customWidth="1"/>
    <col min="65" max="65" width="23.33203125" bestFit="1" customWidth="1"/>
    <col min="66" max="66" width="24.6640625" bestFit="1" customWidth="1"/>
    <col min="67" max="67" width="20.44140625" bestFit="1" customWidth="1"/>
    <col min="68" max="68" width="81.33203125" bestFit="1" customWidth="1"/>
    <col min="69" max="69" width="11.6640625" bestFit="1" customWidth="1"/>
    <col min="70" max="70" width="18.44140625" bestFit="1" customWidth="1"/>
    <col min="71" max="71" width="19.6640625" bestFit="1" customWidth="1"/>
  </cols>
  <sheetData>
    <row r="5" spans="1:33" x14ac:dyDescent="0.3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ExportZD14">
                <anchor moveWithCells="1" sizeWithCells="1">
                  <from>
                    <xdr:col>0</xdr:col>
                    <xdr:colOff>297180</xdr:colOff>
                    <xdr:row>1</xdr:row>
                    <xdr:rowOff>22860</xdr:rowOff>
                  </from>
                  <to>
                    <xdr:col>2</xdr:col>
                    <xdr:colOff>533400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C0DAF-62A8-4C84-B980-4622BCF1711E}">
  <sheetPr codeName="shtCAPDR"/>
  <dimension ref="A5:AG5"/>
  <sheetViews>
    <sheetView showGridLines="0" workbookViewId="0">
      <selection activeCell="F32" sqref="F32"/>
    </sheetView>
  </sheetViews>
  <sheetFormatPr defaultColWidth="10.6640625" defaultRowHeight="14.4" x14ac:dyDescent="0.3"/>
  <cols>
    <col min="1" max="1" width="10" bestFit="1" customWidth="1"/>
    <col min="2" max="2" width="12.6640625" bestFit="1" customWidth="1"/>
    <col min="3" max="3" width="11.6640625" bestFit="1" customWidth="1"/>
    <col min="4" max="4" width="9.44140625" bestFit="1" customWidth="1"/>
    <col min="5" max="5" width="8.6640625" bestFit="1" customWidth="1"/>
    <col min="6" max="6" width="80.6640625" bestFit="1" customWidth="1"/>
    <col min="7" max="12" width="8.5546875" bestFit="1" customWidth="1"/>
    <col min="13" max="13" width="8.6640625" bestFit="1" customWidth="1"/>
    <col min="14" max="14" width="80.6640625" bestFit="1" customWidth="1"/>
    <col min="15" max="20" width="9.5546875" bestFit="1" customWidth="1"/>
    <col min="21" max="22" width="17.33203125" bestFit="1" customWidth="1"/>
    <col min="23" max="25" width="11.33203125" bestFit="1" customWidth="1"/>
    <col min="26" max="26" width="13" bestFit="1" customWidth="1"/>
    <col min="27" max="27" width="14.33203125" bestFit="1" customWidth="1"/>
    <col min="28" max="28" width="10.6640625" bestFit="1" customWidth="1"/>
    <col min="29" max="29" width="10.33203125" bestFit="1" customWidth="1"/>
    <col min="30" max="30" width="14.5546875" bestFit="1" customWidth="1"/>
    <col min="31" max="31" width="11.33203125" bestFit="1" customWidth="1"/>
    <col min="32" max="32" width="9.6640625" bestFit="1" customWidth="1"/>
    <col min="33" max="33" width="9.5546875" bestFit="1" customWidth="1"/>
  </cols>
  <sheetData>
    <row r="5" spans="1:33" x14ac:dyDescent="0.3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ExportCAPDR">
                <anchor moveWithCells="1" sizeWithCells="1">
                  <from>
                    <xdr:col>0</xdr:col>
                    <xdr:colOff>297180</xdr:colOff>
                    <xdr:row>1</xdr:row>
                    <xdr:rowOff>22860</xdr:rowOff>
                  </from>
                  <to>
                    <xdr:col>2</xdr:col>
                    <xdr:colOff>533400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AB4A-D78E-48E3-8D0E-518B866F9F5A}">
  <sheetPr codeName="shtMX6Digits"/>
  <dimension ref="A5:AG5"/>
  <sheetViews>
    <sheetView showGridLines="0" workbookViewId="0">
      <selection activeCell="A5" sqref="A5:AG6"/>
    </sheetView>
  </sheetViews>
  <sheetFormatPr defaultColWidth="10.6640625" defaultRowHeight="14.4" x14ac:dyDescent="0.3"/>
  <cols>
    <col min="1" max="1" width="10.33203125" bestFit="1" customWidth="1"/>
    <col min="2" max="2" width="13.33203125" bestFit="1" customWidth="1"/>
    <col min="3" max="3" width="12.33203125" bestFit="1" customWidth="1"/>
    <col min="4" max="4" width="9.6640625" bestFit="1" customWidth="1"/>
    <col min="5" max="13" width="8.6640625" bestFit="1" customWidth="1"/>
    <col min="14" max="20" width="9.6640625" bestFit="1" customWidth="1"/>
    <col min="21" max="22" width="17.5546875" bestFit="1" customWidth="1"/>
    <col min="23" max="23" width="11.6640625" bestFit="1" customWidth="1"/>
    <col min="26" max="26" width="13.44140625" bestFit="1" customWidth="1"/>
    <col min="27" max="27" width="14.5546875" bestFit="1" customWidth="1"/>
    <col min="28" max="28" width="11.33203125" bestFit="1" customWidth="1"/>
    <col min="29" max="29" width="10.5546875" bestFit="1" customWidth="1"/>
    <col min="30" max="30" width="15" bestFit="1" customWidth="1"/>
    <col min="32" max="32" width="10.33203125" bestFit="1" customWidth="1"/>
    <col min="33" max="33" width="9.6640625" bestFit="1" customWidth="1"/>
  </cols>
  <sheetData>
    <row r="5" spans="1:33" x14ac:dyDescent="0.3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ExportMX6Digits">
                <anchor moveWithCells="1" sizeWithCells="1">
                  <from>
                    <xdr:col>0</xdr:col>
                    <xdr:colOff>297180</xdr:colOff>
                    <xdr:row>1</xdr:row>
                    <xdr:rowOff>22860</xdr:rowOff>
                  </from>
                  <to>
                    <xdr:col>2</xdr:col>
                    <xdr:colOff>533400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0A4B-616B-48CE-85B0-31A33CA7C2EA}">
  <sheetPr codeName="shtZZDE"/>
  <dimension ref="A5:AU5"/>
  <sheetViews>
    <sheetView showGridLines="0" workbookViewId="0"/>
  </sheetViews>
  <sheetFormatPr defaultColWidth="10.6640625" defaultRowHeight="14.4" x14ac:dyDescent="0.3"/>
  <cols>
    <col min="1" max="1" width="5.44140625" bestFit="1" customWidth="1"/>
    <col min="2" max="2" width="7.33203125" bestFit="1" customWidth="1"/>
    <col min="3" max="3" width="12.5546875" bestFit="1" customWidth="1"/>
    <col min="4" max="4" width="9.33203125" bestFit="1" customWidth="1"/>
    <col min="5" max="5" width="8.6640625" bestFit="1" customWidth="1"/>
    <col min="6" max="6" width="8.5546875" bestFit="1" customWidth="1"/>
    <col min="7" max="7" width="8" bestFit="1" customWidth="1"/>
    <col min="8" max="8" width="8.44140625" bestFit="1" customWidth="1"/>
    <col min="9" max="9" width="8" bestFit="1" customWidth="1"/>
    <col min="10" max="10" width="9" bestFit="1" customWidth="1"/>
    <col min="11" max="11" width="8.5546875" bestFit="1" customWidth="1"/>
    <col min="12" max="12" width="8.6640625" bestFit="1" customWidth="1"/>
    <col min="13" max="13" width="8.33203125" bestFit="1" customWidth="1"/>
    <col min="14" max="14" width="9.6640625" bestFit="1" customWidth="1"/>
    <col min="15" max="15" width="9.33203125" bestFit="1" customWidth="1"/>
    <col min="16" max="16" width="9.6640625" bestFit="1" customWidth="1"/>
    <col min="17" max="18" width="9.33203125" bestFit="1" customWidth="1"/>
    <col min="19" max="19" width="8.6640625" bestFit="1" customWidth="1"/>
    <col min="20" max="20" width="9.33203125" bestFit="1" customWidth="1"/>
    <col min="21" max="21" width="8.6640625" bestFit="1" customWidth="1"/>
    <col min="22" max="22" width="9.33203125" bestFit="1" customWidth="1"/>
    <col min="23" max="23" width="8.6640625" bestFit="1" customWidth="1"/>
    <col min="24" max="24" width="9.33203125" bestFit="1" customWidth="1"/>
    <col min="25" max="25" width="8.6640625" bestFit="1" customWidth="1"/>
    <col min="26" max="26" width="9.6640625" bestFit="1" customWidth="1"/>
    <col min="27" max="27" width="9.33203125" bestFit="1" customWidth="1"/>
    <col min="28" max="28" width="9.6640625" bestFit="1" customWidth="1"/>
    <col min="29" max="29" width="9.33203125" bestFit="1" customWidth="1"/>
    <col min="30" max="30" width="9.6640625" bestFit="1" customWidth="1"/>
    <col min="31" max="31" width="9.33203125" bestFit="1" customWidth="1"/>
    <col min="32" max="32" width="9.6640625" bestFit="1" customWidth="1"/>
    <col min="33" max="33" width="9.33203125" bestFit="1" customWidth="1"/>
    <col min="34" max="34" width="9.6640625" bestFit="1" customWidth="1"/>
    <col min="35" max="35" width="9.33203125" bestFit="1" customWidth="1"/>
    <col min="36" max="36" width="9.6640625" bestFit="1" customWidth="1"/>
    <col min="37" max="37" width="9.33203125" bestFit="1" customWidth="1"/>
    <col min="38" max="38" width="12.33203125" bestFit="1" customWidth="1"/>
    <col min="39" max="39" width="13.33203125" bestFit="1" customWidth="1"/>
    <col min="40" max="40" width="12.33203125" bestFit="1" customWidth="1"/>
    <col min="41" max="41" width="13.33203125" bestFit="1" customWidth="1"/>
    <col min="42" max="43" width="12.33203125" bestFit="1" customWidth="1"/>
    <col min="44" max="44" width="11.5546875" bestFit="1" customWidth="1"/>
    <col min="45" max="45" width="9.5546875" bestFit="1" customWidth="1"/>
    <col min="46" max="46" width="11.6640625" bestFit="1" customWidth="1"/>
    <col min="47" max="47" width="9.44140625" bestFit="1" customWidth="1"/>
    <col min="48" max="48" width="12.33203125" bestFit="1" customWidth="1"/>
    <col min="49" max="49" width="9.6640625" bestFit="1" customWidth="1"/>
    <col min="50" max="50" width="9.33203125" bestFit="1" customWidth="1"/>
    <col min="51" max="51" width="17.33203125" bestFit="1" customWidth="1"/>
    <col min="52" max="52" width="18" bestFit="1" customWidth="1"/>
    <col min="53" max="53" width="20.33203125" bestFit="1" customWidth="1"/>
    <col min="54" max="54" width="17" bestFit="1" customWidth="1"/>
    <col min="55" max="55" width="19.5546875" bestFit="1" customWidth="1"/>
    <col min="56" max="56" width="16.33203125" bestFit="1" customWidth="1"/>
    <col min="57" max="57" width="19.44140625" bestFit="1" customWidth="1"/>
    <col min="58" max="58" width="16.33203125" bestFit="1" customWidth="1"/>
    <col min="59" max="59" width="19" bestFit="1" customWidth="1"/>
    <col min="60" max="60" width="15.6640625" bestFit="1" customWidth="1"/>
    <col min="61" max="61" width="21.6640625" bestFit="1" customWidth="1"/>
    <col min="62" max="62" width="18.6640625" bestFit="1" customWidth="1"/>
    <col min="63" max="63" width="24" bestFit="1" customWidth="1"/>
    <col min="64" max="64" width="20.6640625" bestFit="1" customWidth="1"/>
    <col min="65" max="65" width="24" bestFit="1" customWidth="1"/>
    <col min="66" max="66" width="20.6640625" bestFit="1" customWidth="1"/>
    <col min="67" max="67" width="27.44140625" bestFit="1" customWidth="1"/>
    <col min="68" max="68" width="24.33203125" bestFit="1" customWidth="1"/>
    <col min="69" max="69" width="27.44140625" bestFit="1" customWidth="1"/>
    <col min="70" max="70" width="24.33203125" bestFit="1" customWidth="1"/>
    <col min="71" max="71" width="27.44140625" bestFit="1" customWidth="1"/>
    <col min="72" max="72" width="24.33203125" bestFit="1" customWidth="1"/>
    <col min="73" max="73" width="27.5546875" bestFit="1" customWidth="1"/>
    <col min="74" max="74" width="24.44140625" bestFit="1" customWidth="1"/>
    <col min="75" max="75" width="20" bestFit="1" customWidth="1"/>
    <col min="76" max="76" width="16.6640625" bestFit="1" customWidth="1"/>
    <col min="77" max="77" width="20.33203125" bestFit="1" customWidth="1"/>
    <col min="78" max="78" width="17" bestFit="1" customWidth="1"/>
    <col min="79" max="79" width="20.44140625" bestFit="1" customWidth="1"/>
    <col min="80" max="80" width="17.33203125" bestFit="1" customWidth="1"/>
    <col min="81" max="81" width="19.6640625" bestFit="1" customWidth="1"/>
    <col min="82" max="82" width="16.44140625" bestFit="1" customWidth="1"/>
    <col min="83" max="83" width="19.44140625" bestFit="1" customWidth="1"/>
    <col min="84" max="84" width="16.33203125" bestFit="1" customWidth="1"/>
    <col min="85" max="85" width="32.33203125" bestFit="1" customWidth="1"/>
    <col min="86" max="86" width="29.33203125" bestFit="1" customWidth="1"/>
    <col min="87" max="87" width="18.6640625" bestFit="1" customWidth="1"/>
    <col min="88" max="88" width="20.6640625" bestFit="1" customWidth="1"/>
    <col min="89" max="89" width="30.33203125" bestFit="1" customWidth="1"/>
    <col min="90" max="90" width="20.6640625" bestFit="1" customWidth="1"/>
    <col min="91" max="91" width="30.33203125" bestFit="1" customWidth="1"/>
    <col min="92" max="92" width="22.44140625" bestFit="1" customWidth="1"/>
    <col min="93" max="93" width="19.33203125" bestFit="1" customWidth="1"/>
    <col min="94" max="94" width="32.5546875" bestFit="1" customWidth="1"/>
    <col min="95" max="95" width="20.6640625" bestFit="1" customWidth="1"/>
    <col min="96" max="96" width="17.5546875" bestFit="1" customWidth="1"/>
    <col min="97" max="97" width="20.6640625" bestFit="1" customWidth="1"/>
    <col min="98" max="99" width="17.5546875" customWidth="1"/>
    <col min="100" max="100" width="32.5546875" bestFit="1" customWidth="1"/>
  </cols>
  <sheetData>
    <row r="5" spans="1:47" x14ac:dyDescent="0.3">
      <c r="A5" t="s">
        <v>534</v>
      </c>
      <c r="B5" t="s">
        <v>86</v>
      </c>
      <c r="C5" t="s">
        <v>535</v>
      </c>
      <c r="D5" t="s">
        <v>536</v>
      </c>
      <c r="E5" t="s">
        <v>537</v>
      </c>
      <c r="F5" t="s">
        <v>538</v>
      </c>
      <c r="G5" t="s">
        <v>539</v>
      </c>
      <c r="H5" t="s">
        <v>540</v>
      </c>
      <c r="I5" t="s">
        <v>541</v>
      </c>
      <c r="J5" t="s">
        <v>542</v>
      </c>
      <c r="K5" t="s">
        <v>543</v>
      </c>
      <c r="L5" t="s">
        <v>544</v>
      </c>
      <c r="M5" t="s">
        <v>545</v>
      </c>
      <c r="N5" t="s">
        <v>548</v>
      </c>
      <c r="O5" t="s">
        <v>549</v>
      </c>
      <c r="P5" t="s">
        <v>558</v>
      </c>
      <c r="Q5" t="s">
        <v>559</v>
      </c>
      <c r="R5" t="s">
        <v>550</v>
      </c>
      <c r="S5" t="s">
        <v>551</v>
      </c>
      <c r="T5" t="s">
        <v>552</v>
      </c>
      <c r="U5" t="s">
        <v>553</v>
      </c>
      <c r="V5" t="s">
        <v>554</v>
      </c>
      <c r="W5" t="s">
        <v>555</v>
      </c>
      <c r="X5" t="s">
        <v>556</v>
      </c>
      <c r="Y5" t="s">
        <v>557</v>
      </c>
      <c r="Z5" t="s">
        <v>560</v>
      </c>
      <c r="AA5" t="s">
        <v>561</v>
      </c>
      <c r="AB5" t="s">
        <v>562</v>
      </c>
      <c r="AC5" t="s">
        <v>563</v>
      </c>
      <c r="AD5" t="s">
        <v>564</v>
      </c>
      <c r="AE5" t="s">
        <v>565</v>
      </c>
      <c r="AF5" t="s">
        <v>566</v>
      </c>
      <c r="AG5" t="s">
        <v>567</v>
      </c>
      <c r="AH5" t="s">
        <v>578</v>
      </c>
      <c r="AI5" t="s">
        <v>579</v>
      </c>
      <c r="AJ5" t="s">
        <v>568</v>
      </c>
      <c r="AK5" t="s">
        <v>569</v>
      </c>
      <c r="AL5" t="s">
        <v>570</v>
      </c>
      <c r="AM5" t="s">
        <v>571</v>
      </c>
      <c r="AN5" t="s">
        <v>572</v>
      </c>
      <c r="AO5" t="s">
        <v>573</v>
      </c>
      <c r="AP5" t="s">
        <v>574</v>
      </c>
      <c r="AQ5" t="s">
        <v>575</v>
      </c>
      <c r="AR5" t="s">
        <v>576</v>
      </c>
      <c r="AS5" t="s">
        <v>577</v>
      </c>
      <c r="AT5" t="s">
        <v>74</v>
      </c>
      <c r="AU5" t="s">
        <v>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ExportZZDE">
                <anchor moveWithCells="1" sizeWithCells="1">
                  <from>
                    <xdr:col>0</xdr:col>
                    <xdr:colOff>297180</xdr:colOff>
                    <xdr:row>1</xdr:row>
                    <xdr:rowOff>22860</xdr:rowOff>
                  </from>
                  <to>
                    <xdr:col>3</xdr:col>
                    <xdr:colOff>403860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D6E20-8CCB-4CA0-A92C-AFE451356CAB}">
  <sheetPr codeName="shtZZDF"/>
  <dimension ref="A5:Z5"/>
  <sheetViews>
    <sheetView showGridLines="0" workbookViewId="0">
      <selection activeCell="N2" sqref="N2"/>
    </sheetView>
  </sheetViews>
  <sheetFormatPr defaultColWidth="10.6640625" defaultRowHeight="14.4" x14ac:dyDescent="0.3"/>
  <cols>
    <col min="1" max="1" width="5.5546875" bestFit="1" customWidth="1"/>
    <col min="2" max="2" width="7.33203125" bestFit="1" customWidth="1"/>
    <col min="3" max="3" width="12" bestFit="1" customWidth="1"/>
    <col min="4" max="4" width="9.109375" bestFit="1" customWidth="1"/>
    <col min="5" max="5" width="8.5546875" bestFit="1" customWidth="1"/>
    <col min="6" max="6" width="9.109375" bestFit="1" customWidth="1"/>
    <col min="7" max="7" width="8.5546875" bestFit="1" customWidth="1"/>
    <col min="8" max="8" width="9.33203125" bestFit="1" customWidth="1"/>
    <col min="9" max="9" width="8.6640625" bestFit="1" customWidth="1"/>
    <col min="10" max="10" width="9.6640625" bestFit="1" customWidth="1"/>
    <col min="11" max="11" width="9.109375" bestFit="1" customWidth="1"/>
    <col min="12" max="12" width="9" bestFit="1" customWidth="1"/>
    <col min="13" max="13" width="8.44140625" bestFit="1" customWidth="1"/>
    <col min="14" max="14" width="10" bestFit="1" customWidth="1"/>
    <col min="15" max="15" width="9.44140625" bestFit="1" customWidth="1"/>
    <col min="16" max="16" width="10" bestFit="1" customWidth="1"/>
    <col min="17" max="17" width="9.44140625" bestFit="1" customWidth="1"/>
    <col min="18" max="18" width="10" bestFit="1" customWidth="1"/>
    <col min="19" max="19" width="9.44140625" bestFit="1" customWidth="1"/>
    <col min="20" max="20" width="10" bestFit="1" customWidth="1"/>
    <col min="21" max="21" width="9.44140625" bestFit="1" customWidth="1"/>
    <col min="22" max="22" width="12.6640625" bestFit="1" customWidth="1"/>
    <col min="23" max="23" width="11.5546875" bestFit="1" customWidth="1"/>
    <col min="24" max="24" width="13.6640625" bestFit="1" customWidth="1"/>
    <col min="25" max="25" width="12.5546875" bestFit="1" customWidth="1"/>
    <col min="26" max="26" width="7.88671875" bestFit="1" customWidth="1"/>
    <col min="27" max="27" width="9.33203125" bestFit="1" customWidth="1"/>
    <col min="28" max="28" width="17.33203125" bestFit="1" customWidth="1"/>
    <col min="29" max="29" width="18" bestFit="1" customWidth="1"/>
    <col min="30" max="30" width="24.33203125" bestFit="1" customWidth="1"/>
    <col min="31" max="31" width="21" bestFit="1" customWidth="1"/>
    <col min="32" max="32" width="18.44140625" bestFit="1" customWidth="1"/>
    <col min="33" max="33" width="15.33203125" bestFit="1" customWidth="1"/>
    <col min="34" max="34" width="19" bestFit="1" customWidth="1"/>
    <col min="35" max="35" width="15.6640625" bestFit="1" customWidth="1"/>
    <col min="36" max="36" width="22.44140625" bestFit="1" customWidth="1"/>
    <col min="37" max="37" width="19.33203125" bestFit="1" customWidth="1"/>
    <col min="38" max="38" width="17.33203125" bestFit="1" customWidth="1"/>
    <col min="39" max="39" width="14.33203125" bestFit="1" customWidth="1"/>
    <col min="40" max="40" width="21.6640625" bestFit="1" customWidth="1"/>
    <col min="41" max="41" width="18.6640625" bestFit="1" customWidth="1"/>
    <col min="42" max="42" width="24" bestFit="1" customWidth="1"/>
    <col min="43" max="43" width="20.6640625" bestFit="1" customWidth="1"/>
    <col min="44" max="44" width="24" bestFit="1" customWidth="1"/>
    <col min="45" max="45" width="20.6640625" bestFit="1" customWidth="1"/>
    <col min="46" max="46" width="32.33203125" bestFit="1" customWidth="1"/>
    <col min="47" max="47" width="29.33203125" bestFit="1" customWidth="1"/>
    <col min="48" max="48" width="20.6640625" bestFit="1" customWidth="1"/>
    <col min="49" max="49" width="30.33203125" bestFit="1" customWidth="1"/>
    <col min="50" max="50" width="20.6640625" bestFit="1" customWidth="1"/>
    <col min="51" max="51" width="30.33203125" bestFit="1" customWidth="1"/>
    <col min="52" max="52" width="32.5546875" bestFit="1" customWidth="1"/>
    <col min="53" max="53" width="30.33203125" bestFit="1" customWidth="1"/>
    <col min="54" max="55" width="32.5546875" customWidth="1"/>
    <col min="56" max="56" width="24" bestFit="1" customWidth="1"/>
    <col min="57" max="57" width="22.5546875" bestFit="1" customWidth="1"/>
    <col min="58" max="58" width="32.33203125" bestFit="1" customWidth="1"/>
    <col min="59" max="59" width="31" bestFit="1" customWidth="1"/>
    <col min="60" max="60" width="20.6640625" bestFit="1" customWidth="1"/>
    <col min="61" max="61" width="30.33203125" bestFit="1" customWidth="1"/>
    <col min="62" max="62" width="20.6640625" bestFit="1" customWidth="1"/>
    <col min="63" max="63" width="30.33203125" bestFit="1" customWidth="1"/>
    <col min="64" max="65" width="32.5546875" customWidth="1"/>
    <col min="66" max="66" width="5.6640625" bestFit="1" customWidth="1"/>
    <col min="67" max="67" width="6.33203125" bestFit="1" customWidth="1"/>
    <col min="68" max="68" width="22.6640625" customWidth="1"/>
    <col min="69" max="69" width="14.5546875" bestFit="1" customWidth="1"/>
    <col min="70" max="70" width="10.6640625" bestFit="1" customWidth="1"/>
    <col min="71" max="71" width="12.33203125" bestFit="1" customWidth="1"/>
    <col min="72" max="72" width="8" bestFit="1" customWidth="1"/>
    <col min="73" max="73" width="24.5546875" bestFit="1" customWidth="1"/>
    <col min="74" max="74" width="23.33203125" bestFit="1" customWidth="1"/>
    <col min="75" max="75" width="24.6640625" bestFit="1" customWidth="1"/>
    <col min="76" max="76" width="20.44140625" bestFit="1" customWidth="1"/>
    <col min="77" max="77" width="9.33203125" bestFit="1" customWidth="1"/>
    <col min="78" max="78" width="17.33203125" bestFit="1" customWidth="1"/>
    <col min="79" max="79" width="24.6640625" bestFit="1" customWidth="1"/>
    <col min="80" max="80" width="20.44140625" bestFit="1" customWidth="1"/>
    <col min="81" max="81" width="24.33203125" bestFit="1" customWidth="1"/>
    <col min="82" max="82" width="10.33203125" bestFit="1" customWidth="1"/>
    <col min="83" max="83" width="20.44140625" bestFit="1" customWidth="1"/>
    <col min="84" max="84" width="8.5546875" bestFit="1" customWidth="1"/>
    <col min="85" max="85" width="10.33203125" bestFit="1" customWidth="1"/>
    <col min="86" max="86" width="7.6640625" bestFit="1" customWidth="1"/>
    <col min="87" max="87" width="20.33203125" bestFit="1" customWidth="1"/>
    <col min="88" max="88" width="28.6640625" bestFit="1" customWidth="1"/>
    <col min="89" max="89" width="14.5546875" bestFit="1" customWidth="1"/>
    <col min="90" max="90" width="10.6640625" bestFit="1" customWidth="1"/>
    <col min="91" max="91" width="12.33203125" bestFit="1" customWidth="1"/>
    <col min="92" max="92" width="8" bestFit="1" customWidth="1"/>
    <col min="93" max="93" width="22" bestFit="1" customWidth="1"/>
    <col min="94" max="94" width="24.5546875" bestFit="1" customWidth="1"/>
    <col min="95" max="95" width="23.33203125" bestFit="1" customWidth="1"/>
    <col min="96" max="96" width="24.6640625" bestFit="1" customWidth="1"/>
    <col min="97" max="97" width="20.44140625" bestFit="1" customWidth="1"/>
    <col min="98" max="98" width="81.33203125" bestFit="1" customWidth="1"/>
    <col min="99" max="99" width="11.6640625" bestFit="1" customWidth="1"/>
    <col min="100" max="100" width="18.44140625" bestFit="1" customWidth="1"/>
    <col min="101" max="101" width="19.6640625" bestFit="1" customWidth="1"/>
  </cols>
  <sheetData>
    <row r="5" spans="1:26" x14ac:dyDescent="0.3">
      <c r="A5" t="s">
        <v>534</v>
      </c>
      <c r="B5" t="s">
        <v>86</v>
      </c>
      <c r="C5" t="s">
        <v>580</v>
      </c>
      <c r="D5" t="s">
        <v>581</v>
      </c>
      <c r="E5" t="s">
        <v>582</v>
      </c>
      <c r="F5" t="s">
        <v>583</v>
      </c>
      <c r="G5" t="s">
        <v>584</v>
      </c>
      <c r="H5" t="s">
        <v>542</v>
      </c>
      <c r="I5" t="s">
        <v>543</v>
      </c>
      <c r="J5" t="s">
        <v>585</v>
      </c>
      <c r="K5" t="s">
        <v>586</v>
      </c>
      <c r="L5" t="s">
        <v>544</v>
      </c>
      <c r="M5" t="s">
        <v>545</v>
      </c>
      <c r="N5" t="s">
        <v>546</v>
      </c>
      <c r="O5" t="s">
        <v>547</v>
      </c>
      <c r="P5" t="s">
        <v>548</v>
      </c>
      <c r="Q5" t="s">
        <v>549</v>
      </c>
      <c r="R5" t="s">
        <v>558</v>
      </c>
      <c r="S5" t="s">
        <v>559</v>
      </c>
      <c r="T5" t="s">
        <v>568</v>
      </c>
      <c r="U5" t="s">
        <v>569</v>
      </c>
      <c r="V5" t="s">
        <v>570</v>
      </c>
      <c r="W5" t="s">
        <v>587</v>
      </c>
      <c r="X5" t="s">
        <v>573</v>
      </c>
      <c r="Y5" t="s">
        <v>574</v>
      </c>
      <c r="Z5" t="s">
        <v>588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ExportZZDF">
                <anchor moveWithCells="1" sizeWithCells="1">
                  <from>
                    <xdr:col>0</xdr:col>
                    <xdr:colOff>297180</xdr:colOff>
                    <xdr:row>1</xdr:row>
                    <xdr:rowOff>22860</xdr:rowOff>
                  </from>
                  <to>
                    <xdr:col>3</xdr:col>
                    <xdr:colOff>449580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FCCDB-2B54-4E0E-B7CF-46FA1BB845D9}">
  <sheetPr codeName="shtZD14Test"/>
  <dimension ref="A5:AG5"/>
  <sheetViews>
    <sheetView showGridLines="0" workbookViewId="0"/>
  </sheetViews>
  <sheetFormatPr defaultColWidth="10.6640625" defaultRowHeight="14.4" x14ac:dyDescent="0.3"/>
  <cols>
    <col min="2" max="2" width="13.33203125" customWidth="1"/>
    <col min="3" max="3" width="12" customWidth="1"/>
    <col min="21" max="22" width="17.44140625" customWidth="1"/>
    <col min="23" max="23" width="11.5546875" customWidth="1"/>
    <col min="26" max="26" width="13.33203125" customWidth="1"/>
    <col min="27" max="27" width="14.44140625" customWidth="1"/>
    <col min="30" max="30" width="14.6640625" customWidth="1"/>
  </cols>
  <sheetData>
    <row r="5" spans="1:33" x14ac:dyDescent="0.3">
      <c r="A5" t="s">
        <v>72</v>
      </c>
      <c r="B5" t="s">
        <v>73</v>
      </c>
      <c r="C5" t="s">
        <v>74</v>
      </c>
      <c r="D5" t="s">
        <v>75</v>
      </c>
      <c r="E5" t="s">
        <v>90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91</v>
      </c>
      <c r="N5" t="s">
        <v>100</v>
      </c>
      <c r="O5" t="s">
        <v>101</v>
      </c>
      <c r="P5" t="s">
        <v>102</v>
      </c>
      <c r="Q5" t="s">
        <v>103</v>
      </c>
      <c r="R5" t="s">
        <v>104</v>
      </c>
      <c r="S5" t="s">
        <v>105</v>
      </c>
      <c r="T5" t="s">
        <v>106</v>
      </c>
      <c r="U5" t="s">
        <v>87</v>
      </c>
      <c r="V5" t="s">
        <v>85</v>
      </c>
      <c r="W5" t="s">
        <v>84</v>
      </c>
      <c r="X5" t="s">
        <v>82</v>
      </c>
      <c r="Y5" t="s">
        <v>83</v>
      </c>
      <c r="Z5" t="s">
        <v>76</v>
      </c>
      <c r="AA5" t="s">
        <v>77</v>
      </c>
      <c r="AB5" t="s">
        <v>78</v>
      </c>
      <c r="AC5" t="s">
        <v>88</v>
      </c>
      <c r="AD5" t="s">
        <v>89</v>
      </c>
      <c r="AE5" t="s">
        <v>79</v>
      </c>
      <c r="AF5" t="s">
        <v>80</v>
      </c>
      <c r="AG5" t="s">
        <v>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ExportZD14Test">
                <anchor moveWithCells="1" sizeWithCells="1">
                  <from>
                    <xdr:col>0</xdr:col>
                    <xdr:colOff>297180</xdr:colOff>
                    <xdr:row>1</xdr:row>
                    <xdr:rowOff>22860</xdr:rowOff>
                  </from>
                  <to>
                    <xdr:col>2</xdr:col>
                    <xdr:colOff>533400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F346EA-399F-44D2-BB8B-D3B1931565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Menu</vt:lpstr>
      <vt:lpstr>Config</vt:lpstr>
      <vt:lpstr>DTR</vt:lpstr>
      <vt:lpstr>NOM</vt:lpstr>
      <vt:lpstr>Definitions</vt:lpstr>
      <vt:lpstr>ZD14</vt:lpstr>
      <vt:lpstr>CAPDR</vt:lpstr>
      <vt:lpstr>MX6Digits</vt:lpstr>
      <vt:lpstr>ZZDE</vt:lpstr>
      <vt:lpstr>ZZDF</vt:lpstr>
      <vt:lpstr>ZD14Test</vt:lpstr>
      <vt:lpstr>auCountryCode</vt:lpstr>
      <vt:lpstr>auMainCG</vt:lpstr>
      <vt:lpstr>brCountryCode</vt:lpstr>
      <vt:lpstr>brMainCG</vt:lpstr>
      <vt:lpstr>caCountryCode</vt:lpstr>
      <vt:lpstr>caMainCG</vt:lpstr>
      <vt:lpstr>Country</vt:lpstr>
      <vt:lpstr>ErrorDTR</vt:lpstr>
      <vt:lpstr>ErrorNOM</vt:lpstr>
      <vt:lpstr>euCountryCode</vt:lpstr>
      <vt:lpstr>euMainCG</vt:lpstr>
      <vt:lpstr>LastCleansingDTR</vt:lpstr>
      <vt:lpstr>LastCleansingNOM</vt:lpstr>
      <vt:lpstr>LastGenOutput</vt:lpstr>
      <vt:lpstr>LastImportDTR</vt:lpstr>
      <vt:lpstr>LastImportNOM</vt:lpstr>
      <vt:lpstr>LastImportTXT</vt:lpstr>
      <vt:lpstr>MainCG</vt:lpstr>
      <vt:lpstr>MaxCSV</vt:lpstr>
      <vt:lpstr>MinChapter</vt:lpstr>
      <vt:lpstr>mxCountryCode</vt:lpstr>
      <vt:lpstr>mxMainCG</vt:lpstr>
      <vt:lpstr>nzCountryCode</vt:lpstr>
      <vt:lpstr>nzMainCG</vt:lpstr>
      <vt:lpstr>ruCountryCode</vt:lpstr>
      <vt:lpstr>ruMainCG</vt:lpstr>
      <vt:lpstr>usCountryCode</vt:lpstr>
      <vt:lpstr>usMainCG</vt:lpstr>
      <vt:lpstr>vnCountryCode</vt:lpstr>
      <vt:lpstr>vnMainCG</vt:lpstr>
      <vt:lpstr>Year</vt:lpstr>
      <vt:lpstr>ZD14Date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Martel-Labranche , Pier-Luc</dc:creator>
  <cp:lastModifiedBy>Jean-Claude HO</cp:lastModifiedBy>
  <dcterms:created xsi:type="dcterms:W3CDTF">2022-09-05T15:40:57Z</dcterms:created>
  <dcterms:modified xsi:type="dcterms:W3CDTF">2026-01-23T13:24:56Z</dcterms:modified>
</cp:coreProperties>
</file>