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S:\Shared\Finances\Douane\Global Content (HS Tariff)\Tariff_Update_Descartes\_v_ExpHS_CA_Template\"/>
    </mc:Choice>
  </mc:AlternateContent>
  <xr:revisionPtr revIDLastSave="0" documentId="13_ncr:1_{E035C116-32DA-4FAA-A4BF-8339C402166D}" xr6:coauthVersionLast="47" xr6:coauthVersionMax="47" xr10:uidLastSave="{00000000-0000-0000-0000-000000000000}"/>
  <bookViews>
    <workbookView xWindow="-108" yWindow="-108" windowWidth="23256" windowHeight="12576" xr2:uid="{5A0F0921-8152-4932-9AE1-22D1853D8EC2}"/>
  </bookViews>
  <sheets>
    <sheet name="Menu" sheetId="6" r:id="rId1"/>
    <sheet name="NOM" sheetId="2" r:id="rId2"/>
    <sheet name="Definitions" sheetId="4" r:id="rId3"/>
    <sheet name="ExpHSCA" sheetId="8" r:id="rId4"/>
    <sheet name="ExpHSUS" sheetId="9" r:id="rId5"/>
  </sheets>
  <functionGroups builtInGroupCount="19"/>
  <definedNames>
    <definedName name="Country">Menu!$F$6</definedName>
    <definedName name="DonnéesExternes_1" localSheetId="3" hidden="1">ExpHSCA!$A$5:$F$6</definedName>
    <definedName name="DonnéesExternes_1" localSheetId="4" hidden="1">ExpHSUS!$A$5:$E$6</definedName>
    <definedName name="ErrorNOM">Menu!$E$11</definedName>
    <definedName name="LastCleansingNOM">Menu!$C$7</definedName>
    <definedName name="LastGenOutput">Menu!$C$13</definedName>
    <definedName name="LastImportNOM">Menu!$C$4</definedName>
    <definedName name="LastImportTXT">Menu!$C$10</definedName>
    <definedName name="MinChapter">Menu!$F$8</definedName>
    <definedName name="Year">Menu!$F$7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9" l="1"/>
  <c r="E3" i="8" l="1"/>
  <c r="B2" i="2" l="1"/>
  <c r="E11" i="6" l="1"/>
  <c r="C2" i="2"/>
  <c r="J4" i="6"/>
  <c r="H4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A69D2F-4F44-4846-B814-FC7478B0CF32}" name="HSCA_EXP_EN_NOM_I_00004001001" type="4" refreshedVersion="0" background="1">
    <webPr xml="1" sourceData="1" url="S:\Shared\Finances\Douane\Projets\2023-24_663_CA_Export_Update_ECC_Descartes\1.Dev\XML\HSCA_EXP_EN_NOM_I_00004001001.xml" htmlTables="1" htmlFormat="all"/>
  </connection>
  <connection id="2" xr16:uid="{FC01B4D6-2A11-49D2-8F2E-FF2B360D63A7}" name="HSCA_EXP_EN_TXT_I_00004001001" type="4" refreshedVersion="0" background="1">
    <webPr xml="1" sourceData="1" url="S:\Shared\Finances\Douane\Projets\2023-24_663_CA_Export_Update_ECC_Descartes\1.Dev\XML\HSCA_EXP_EN_TXT_I_00004001001.xml" htmlTables="1" htmlFormat="all"/>
  </connection>
  <connection id="3" xr16:uid="{6E347921-7B8E-4687-9775-FF445CE8C9C0}" name="HSCA_EXP_EN_TXT_I_000040010011" type="4" refreshedVersion="0" background="1">
    <webPr xml="1" sourceData="1" url="S:\Shared\Finances\Douane\Projets\2023-24_663_CA_Export_Update_ECC_Descartes\1.Dev\XML\HSCA_EXP_EN_TXT_I_00004001001.xml" htmlTables="1" htmlFormat="all"/>
  </connection>
  <connection id="4" xr16:uid="{B77588E4-0C5E-48B6-B64A-B40FE762DA0D}" keepAlive="1" name="Requête - ExpHSCA" description="Connexion à la requête « ExpHSCA » dans le classeur." type="5" refreshedVersion="8" saveData="1">
    <dbPr connection="Provider=Microsoft.Mashup.OleDb.1;Data Source=$Workbook$;Location=ExpHSCA;Extended Properties=&quot;&quot;" command="SELECT * FROM [ExpHSCA]"/>
  </connection>
  <connection id="5" xr16:uid="{34DE91EC-EF4D-465F-8EF7-FE5248A5B0CD}" keepAlive="1" name="Requête - ExpHSUS" description="Connexion à la requête « ExpHSUS » dans le classeur." type="5" refreshedVersion="8" saveData="1">
    <dbPr connection="Provider=Microsoft.Mashup.OleDb.1;Data Source=$Workbook$;Location=ExpHSUS;Extended Properties=&quot;&quot;" command="SELECT * FROM [ExpHSUS]"/>
  </connection>
</connections>
</file>

<file path=xl/sharedStrings.xml><?xml version="1.0" encoding="utf-8"?>
<sst xmlns="http://schemas.openxmlformats.org/spreadsheetml/2006/main" count="56" uniqueCount="42">
  <si>
    <t>valid_from</t>
  </si>
  <si>
    <t>valid_to</t>
  </si>
  <si>
    <t>version</t>
  </si>
  <si>
    <t>version_date</t>
  </si>
  <si>
    <t>version_number</t>
  </si>
  <si>
    <t>upload_initial</t>
  </si>
  <si>
    <t>level_id</t>
  </si>
  <si>
    <t>Total entries</t>
  </si>
  <si>
    <t>Year</t>
  </si>
  <si>
    <t>Configuration</t>
  </si>
  <si>
    <t>Last Run</t>
  </si>
  <si>
    <t>Total versions #</t>
  </si>
  <si>
    <t>hs</t>
  </si>
  <si>
    <t>Minimum Chapter</t>
  </si>
  <si>
    <t>Issues:</t>
  </si>
  <si>
    <t>NOM File List</t>
  </si>
  <si>
    <t>hs_flag</t>
  </si>
  <si>
    <t>text</t>
  </si>
  <si>
    <t>qualifier</t>
  </si>
  <si>
    <t>text_element_id</t>
  </si>
  <si>
    <t>validity_begin</t>
  </si>
  <si>
    <t>validity_end</t>
  </si>
  <si>
    <t>id</t>
  </si>
  <si>
    <t>parent_id</t>
  </si>
  <si>
    <t>alternate_unit_1</t>
  </si>
  <si>
    <t>alternate_unit_2</t>
  </si>
  <si>
    <t>alternate_unit_3</t>
  </si>
  <si>
    <t>official_description</t>
  </si>
  <si>
    <t>Start date</t>
  </si>
  <si>
    <t>End date</t>
  </si>
  <si>
    <t>HS8_Code</t>
  </si>
  <si>
    <t>HS8_Edesc</t>
  </si>
  <si>
    <t>HS8_Fdesc</t>
  </si>
  <si>
    <t>TXT File List</t>
  </si>
  <si>
    <t>iso_country_code</t>
  </si>
  <si>
    <t>schema_definition</t>
  </si>
  <si>
    <t>full_description</t>
  </si>
  <si>
    <t>HS8_Unit_of_Measure_Code</t>
  </si>
  <si>
    <t>Country</t>
  </si>
  <si>
    <t>Total count</t>
  </si>
  <si>
    <t>UOM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</si>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</sst>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49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Byte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name="countries">
                    <xs:complexType>
                      <xs:sequence>
                        <xs:element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texts">
                    <xs:complexType>
                      <xs:sequence>
                        <xs:element name="qualifier" type="xs:string"/>
                        <xs:element name="text_element_id" type="xs:string"/>
                        <xs:element name="reference_id" type="xs:string"/>
                        <xs:element name="deletion" type="xs:boolean"/>
                        <xs:element name="validity_begin" type="xs:date"/>
                        <xs:element name="validity_end" type="xs:date"/>
                        <xs:element name="text_element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Schema ID="Schema4">
    <xs:schema xmlns:xsi="http://www.w3.org/2001/XMLSchema-instance" xmlns:xs="http://www.w3.org/2001/XMLSchema" xmlns="" attributeFormDefault="unqualified" elementFormDefault="qualified">
      <xs:element name="legal_numbering_exchange">
        <xs:complexType>
          <xs:sequence>
            <xs:element name="head">
              <xs:complexType>
                <xs:sequence>
                  <xs:element name="version" type="xs:string"/>
                  <xs:element name="version_date" type="xs:date"/>
                  <xs:element name="version_number" type="xs:unsignedByte"/>
                  <xs:element name="upload_initial" type="xs:boolean"/>
                  <xs:element name="schema_id" type="xs:string"/>
                  <xs:element name="content_type" type="xs:unsignedByte"/>
                  <xs:element name="date_dependent" type="xs:boolean"/>
                  <xs:element name="country_dependent" type="xs:boolean"/>
                  <xs:element name="special_units_of_measure" type="xs:unsignedByte"/>
                  <xs:element name="schema_description">
                    <xs:complexType>
                      <xs:sequence>
                        <xs:element name="language" type="xs:string"/>
                        <xs:element name="text" type="xs:string"/>
                      </xs:sequence>
                    </xs:complexType>
                  </xs:element>
                  <xs:element name="countries">
                    <xs:complexType>
                      <xs:sequence>
                        <xs:element name="iso_country_code" type="xs:string"/>
                      </xs:sequence>
                    </xs:complexType>
                  </xs:element>
                  <xs:element maxOccurs="unbounded" name="level">
                    <xs:complexType>
                      <xs:sequence>
                        <xs:element name="level_id" type="xs:unsignedByte"/>
                        <xs:element name="length" type="xs:unsignedByte"/>
                        <xs:element name="separator"/>
                        <xs:element name="usage"/>
                        <xs:element name="level_description">
                          <xs:complexType>
                            <xs:sequence>
                              <xs:element name="language" type="xs:string"/>
                              <xs:element name="text" type="xs:string"/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  <xs:element name="body">
              <xs:complexType>
                <xs:sequence>
                  <xs:element maxOccurs="unbounded" name="number_data">
                    <xs:complexType>
                      <xs:sequence>
                        <xs:element name="number" type="xs:string"/>
                        <xs:element name="id" type="xs:string"/>
                        <xs:element name="root_id" type="xs:unsignedByte"/>
                        <xs:element name="parent_id" type="xs:string"/>
                        <xs:element name="level_id" type="xs:unsignedByte"/>
                        <xs:element name="validity_begin" type="xs:date"/>
                        <xs:element name="validity_end" type="xs:date"/>
                        <xs:element name="date_of_physical_update" type="xs:date"/>
                        <xs:element name="utilisation" type="xs:string"/>
                        <xs:element name="grouping" type="xs:unsignedByte"/>
                        <xs:element name="alternate_unit_1" type="xs:string"/>
                        <xs:element name="alternate_unit_2"/>
                        <xs:element name="alternate_unit_3"/>
                        <xs:element name="texts">
                          <xs:complexType>
                            <xs:sequence>
                              <xs:element name="official_description">
                                <xs:complexType>
                                  <xs:sequence>
                                    <xs:element name="language" type="xs:string"/>
                                    <xs:element name="text" type="xs:string"/>
                                  </xs:sequence>
                                </xs:complexType>
                              </xs:element>
                              <xs:element minOccurs="0" name="description_reference">
                                <xs:complexType>
                                  <xs:sequence>
                                    <xs:element name="qualifier" type="xs:string"/>
                                    <xs:element name="text_element_id" type="xs:string"/>
                                    <xs:element name="validity_begin" type="xs:date"/>
                                    <xs:element name="validity_end" type="xs:date"/>
                                  </xs:sequence>
                                </xs:complexType>
                              </xs:element>
                            </xs:sequence>
                          </xs:complexType>
                        </xs:element>
                      </xs:sequence>
                    </xs:complexType>
                  </xs:element>
                </xs:sequence>
              </xs:complexType>
            </xs:element>
          </xs:sequence>
        </xs:complexType>
      </xs:element>
    </xs:schema>
  </Schema>
  <Map ID="42" Name="legal_numbering_exchange" RootElement="legal_numbering_exchange" SchemaID="Schema4" ShowImportExportValidationErrors="false" AutoFit="true" Append="false" PreserveSortAFLayout="true" PreserveFormat="true"/>
  <Map ID="41" Name="texts" RootElement="legal_numbering_exchange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</xdr:row>
          <xdr:rowOff>0</xdr:rowOff>
        </xdr:from>
        <xdr:to>
          <xdr:col>3</xdr:col>
          <xdr:colOff>0</xdr:colOff>
          <xdr:row>2</xdr:row>
          <xdr:rowOff>182880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XML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7620</xdr:rowOff>
        </xdr:from>
        <xdr:to>
          <xdr:col>3</xdr:col>
          <xdr:colOff>0</xdr:colOff>
          <xdr:row>11</xdr:row>
          <xdr:rowOff>182880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Output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7620</xdr:rowOff>
        </xdr:from>
        <xdr:to>
          <xdr:col>13</xdr:col>
          <xdr:colOff>297180</xdr:colOff>
          <xdr:row>2</xdr:row>
          <xdr:rowOff>182880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7620</xdr:rowOff>
        </xdr:from>
        <xdr:to>
          <xdr:col>6</xdr:col>
          <xdr:colOff>0</xdr:colOff>
          <xdr:row>2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0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7620</xdr:rowOff>
        </xdr:from>
        <xdr:to>
          <xdr:col>3</xdr:col>
          <xdr:colOff>0</xdr:colOff>
          <xdr:row>5</xdr:row>
          <xdr:rowOff>190500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0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Cleansing -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7</xdr:row>
          <xdr:rowOff>7620</xdr:rowOff>
        </xdr:from>
        <xdr:to>
          <xdr:col>3</xdr:col>
          <xdr:colOff>0</xdr:colOff>
          <xdr:row>8</xdr:row>
          <xdr:rowOff>182880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0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XML -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7620</xdr:rowOff>
        </xdr:from>
        <xdr:to>
          <xdr:col>3</xdr:col>
          <xdr:colOff>7620</xdr:colOff>
          <xdr:row>2</xdr:row>
          <xdr:rowOff>182880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3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XLSX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7620</xdr:rowOff>
        </xdr:from>
        <xdr:to>
          <xdr:col>3</xdr:col>
          <xdr:colOff>7620</xdr:colOff>
          <xdr:row>2</xdr:row>
          <xdr:rowOff>182880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XLSX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4" xr16:uid="{D379B81A-3565-44A1-A133-A49A98F73A27}" autoFormatId="16" applyNumberFormats="0" applyBorderFormats="0" applyFontFormats="0" applyPatternFormats="0" applyAlignmentFormats="0" applyWidthHeightFormats="0">
  <queryTableRefresh nextId="134">
    <queryTableFields count="6">
      <queryTableField id="127" name="Start date" tableColumnId="1"/>
      <queryTableField id="128" name="End date" tableColumnId="2"/>
      <queryTableField id="129" name="HS8_Code" tableColumnId="3"/>
      <queryTableField id="132" name="HS8_Unit_of_Measure_Code" tableColumnId="6"/>
      <queryTableField id="130" name="HS8_Edesc" tableColumnId="4"/>
      <queryTableField id="131" name="HS8_Fdesc" tableColumnId="5"/>
    </queryTableFields>
    <queryTableDeletedFields count="2">
      <deletedField name="PGA Program"/>
      <deletedField name="PGA Flag 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5" xr16:uid="{D276692C-1CD0-4E3C-A9F8-BF51A2620614}" autoFormatId="16" applyNumberFormats="0" applyBorderFormats="0" applyFontFormats="0" applyPatternFormats="0" applyAlignmentFormats="0" applyWidthHeightFormats="0">
  <queryTableRefresh nextId="139">
    <queryTableFields count="5">
      <queryTableField id="134" name="valid_from" tableColumnId="1"/>
      <queryTableField id="135" name="valid_to" tableColumnId="2"/>
      <queryTableField id="136" name="hs" tableColumnId="3"/>
      <queryTableField id="137" name="UOM" tableColumnId="4"/>
      <queryTableField id="138" name="full_description" tableColumnId="5"/>
    </queryTableFields>
    <queryTableDeletedFields count="2">
      <deletedField name="PGA Program"/>
      <deletedField name="PGA Flag Description"/>
    </queryTableDeleted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86413A0-F13C-4A7C-BDE2-268796988D04}" name="TableFileListNOM" displayName="TableFileListNOM" ref="H2:H4" insertRow="1" totalsRowCount="1">
  <autoFilter ref="H2:H3" xr:uid="{886413A0-F13C-4A7C-BDE2-268796988D04}"/>
  <tableColumns count="1">
    <tableColumn id="1" xr3:uid="{64D4C891-E29C-427D-9E72-EC8D58C09C4E}" name="NOM File List" totalsRowFunction="count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AFC1EA-88F1-43D7-A260-D10BBCBD7673}" name="TableFileListTXT" displayName="TableFileListTXT" ref="J2:J4" insertRow="1" totalsRowCount="1">
  <autoFilter ref="J2:J3" xr:uid="{7EAFC1EA-88F1-43D7-A260-D10BBCBD7673}"/>
  <tableColumns count="1">
    <tableColumn id="1" xr3:uid="{D1A5AA70-34AA-4B79-92AD-DEA9F8DB1803}" name="TXT File List" totalsRowFunction="count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DAD1C0-D1DC-4898-BBFF-54968A5D64D6}" name="TableNOM" displayName="TableNOM" ref="A3:T4" tableType="xml" insertRow="1" totalsRowShown="0">
  <autoFilter ref="A3:T4" xr:uid="{77DAD1C0-D1DC-4898-BBFF-54968A5D64D6}"/>
  <tableColumns count="20">
    <tableColumn id="1" xr3:uid="{B009F7B9-95B1-40A2-82DA-10853C0DE3C6}" uniqueName="version" name="version">
      <xmlColumnPr mapId="42" xpath="/legal_numbering_exchange/head/version" xmlDataType="string"/>
    </tableColumn>
    <tableColumn id="2" xr3:uid="{B3635DF0-7516-4D49-9D4F-E2783DA8903B}" uniqueName="version_date" name="version_date">
      <xmlColumnPr mapId="42" xpath="/legal_numbering_exchange/head/version_date" xmlDataType="date"/>
    </tableColumn>
    <tableColumn id="3" xr3:uid="{D06E8174-16EA-49C9-BE08-CB2393C3A521}" uniqueName="version_number" name="version_number">
      <xmlColumnPr mapId="42" xpath="/legal_numbering_exchange/head/version_number" xmlDataType="unsignedByte"/>
    </tableColumn>
    <tableColumn id="4" xr3:uid="{479FE8B0-1953-46F3-8C4F-A2D3B3A1FA5A}" uniqueName="upload_initial" name="upload_initial">
      <xmlColumnPr mapId="42" xpath="/legal_numbering_exchange/head/upload_initial" xmlDataType="boolean"/>
    </tableColumn>
    <tableColumn id="39" xr3:uid="{2DC7761C-52D2-4BE4-A826-12DBB5473881}" uniqueName="39" name="hs_flag"/>
    <tableColumn id="19" xr3:uid="{920EE4BC-997E-4641-8761-027AB418BA99}" uniqueName="number" name="hs">
      <xmlColumnPr mapId="42" xpath="/legal_numbering_exchange/body/number_data/number" xmlDataType="string"/>
    </tableColumn>
    <tableColumn id="20" xr3:uid="{6C54BA3D-0C7F-4968-82D9-31A8C804CECC}" uniqueName="id" name="id">
      <xmlColumnPr mapId="42" xpath="/legal_numbering_exchange/body/number_data/id" xmlDataType="string"/>
    </tableColumn>
    <tableColumn id="22" xr3:uid="{95DCC13C-9033-4798-BCB3-288B1FC3C255}" uniqueName="parent_id" name="parent_id">
      <xmlColumnPr mapId="42" xpath="/legal_numbering_exchange/body/number_data/parent_id" xmlDataType="string"/>
    </tableColumn>
    <tableColumn id="23" xr3:uid="{6B050B12-63F0-4A95-9C04-61E539391799}" uniqueName="level_id" name="level_id">
      <xmlColumnPr mapId="42" xpath="/legal_numbering_exchange/body/number_data/level_id" xmlDataType="unsignedByte"/>
    </tableColumn>
    <tableColumn id="24" xr3:uid="{DA0AD62F-84DE-4C10-8EF9-6E3AE4EFEB2D}" uniqueName="validity_begin" name="valid_from">
      <xmlColumnPr mapId="42" xpath="/legal_numbering_exchange/body/number_data/validity_begin" xmlDataType="date"/>
    </tableColumn>
    <tableColumn id="25" xr3:uid="{D9A69A80-94E5-425B-A968-CFED42B123C5}" uniqueName="validity_end" name="valid_to">
      <xmlColumnPr mapId="42" xpath="/legal_numbering_exchange/body/number_data/validity_end" xmlDataType="date"/>
    </tableColumn>
    <tableColumn id="29" xr3:uid="{CDF402A2-19A7-478E-9418-B40E173292BA}" uniqueName="alternate_unit_1" name="alternate_unit_1">
      <xmlColumnPr mapId="42" xpath="/legal_numbering_exchange/body/number_data/alternate_unit_1" xmlDataType="string"/>
    </tableColumn>
    <tableColumn id="30" xr3:uid="{B9A2F984-B9A2-4CF9-8C67-15107C2DE412}" uniqueName="alternate_unit_2" name="alternate_unit_2">
      <xmlColumnPr mapId="42" xpath="/legal_numbering_exchange/body/number_data/alternate_unit_2" xmlDataType="anyType"/>
    </tableColumn>
    <tableColumn id="31" xr3:uid="{F7B99A40-512B-424F-A629-A71E01FC84BC}" uniqueName="alternate_unit_3" name="alternate_unit_3">
      <xmlColumnPr mapId="42" xpath="/legal_numbering_exchange/body/number_data/alternate_unit_3" xmlDataType="anyType"/>
    </tableColumn>
    <tableColumn id="40" xr3:uid="{28F52A15-32B8-4E11-B8B9-76351EBB45E8}" uniqueName="40" name="full_description" dataDxfId="11"/>
    <tableColumn id="33" xr3:uid="{60C5013C-D466-41FE-8607-77707C04635C}" uniqueName="text" name="official_description">
      <xmlColumnPr mapId="42" xpath="/legal_numbering_exchange/body/number_data/texts/official_description/text" xmlDataType="string"/>
    </tableColumn>
    <tableColumn id="34" xr3:uid="{59D2656B-6480-4D4F-857C-73328A43D514}" uniqueName="qualifier" name="qualifier">
      <xmlColumnPr mapId="42" xpath="/legal_numbering_exchange/body/number_data/texts/description_reference/qualifier" xmlDataType="string"/>
    </tableColumn>
    <tableColumn id="35" xr3:uid="{64750C49-89BE-496F-8A74-B71E95282CE1}" uniqueName="text_element_id" name="text_element_id">
      <xmlColumnPr mapId="42" xpath="/legal_numbering_exchange/body/number_data/texts/description_reference/text_element_id" xmlDataType="string"/>
    </tableColumn>
    <tableColumn id="36" xr3:uid="{B4B50E5D-8761-4209-8A4C-DBC4ECBA4C5C}" uniqueName="validity_begin" name="validity_begin">
      <xmlColumnPr mapId="42" xpath="/legal_numbering_exchange/body/number_data/texts/description_reference/validity_begin" xmlDataType="date"/>
    </tableColumn>
    <tableColumn id="37" xr3:uid="{833D1372-D182-4B64-95E7-77F84E5BF37D}" uniqueName="validity_end" name="validity_end">
      <xmlColumnPr mapId="42" xpath="/legal_numbering_exchange/body/number_data/texts/description_reference/validity_end" xmlDataType="date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0CFE26-9C68-49F8-BDCF-2B74F649FB35}" name="TableTXT" displayName="TableTXT" ref="D2:H3" tableType="xml" insertRow="1" totalsRowShown="0" connectionId="3">
  <autoFilter ref="D2:H3" xr:uid="{820CFE26-9C68-49F8-BDCF-2B74F649FB35}"/>
  <tableColumns count="5">
    <tableColumn id="1" xr3:uid="{A6FBA9AD-793D-4DC0-9FB1-E2E8C0E73AE9}" uniqueName="qualifier" name="qualifier">
      <xmlColumnPr mapId="41" xpath="/legal_numbering_exchange/body/texts/qualifier" xmlDataType="string"/>
    </tableColumn>
    <tableColumn id="2" xr3:uid="{FA277CE8-6B4E-4BAE-9065-AA7A419CF416}" uniqueName="text_element_id" name="text_element_id">
      <xmlColumnPr mapId="41" xpath="/legal_numbering_exchange/body/texts/text_element_id" xmlDataType="string"/>
    </tableColumn>
    <tableColumn id="5" xr3:uid="{3644839C-30BF-4153-8581-C1621960BC92}" uniqueName="validity_begin" name="validity_begin">
      <xmlColumnPr mapId="41" xpath="/legal_numbering_exchange/body/texts/validity_begin" xmlDataType="date"/>
    </tableColumn>
    <tableColumn id="6" xr3:uid="{F9A507B4-FF20-4F3F-BE96-A0374DA4979A}" uniqueName="validity_end" name="validity_end">
      <xmlColumnPr mapId="41" xpath="/legal_numbering_exchange/body/texts/validity_end" xmlDataType="date"/>
    </tableColumn>
    <tableColumn id="8" xr3:uid="{77CF0296-73D3-4BDB-8E4E-7692661769E3}" uniqueName="text" name="text">
      <xmlColumnPr mapId="41" xpath="/legal_numbering_exchange/body/texts/text_element/text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1D5579-A637-4749-9085-278FEB608CF7}" name="TableLevelDef" displayName="TableLevelDef" ref="J2:K3" tableType="xml" insertRow="1" totalsRowShown="0" connectionId="3">
  <autoFilter ref="J2:K3" xr:uid="{F01D5579-A637-4749-9085-278FEB608CF7}"/>
  <tableColumns count="2">
    <tableColumn id="1" xr3:uid="{3728A108-70F4-4CE5-8662-DF968EFB3A8F}" uniqueName="level_id" name="level_id">
      <xmlColumnPr mapId="41" xpath="/legal_numbering_exchange/head/level/level_id" xmlDataType="unsignedByte"/>
    </tableColumn>
    <tableColumn id="6" xr3:uid="{764E8CE2-CF0E-43FC-B0A5-7FC8D470E914}" uniqueName="text" name="text">
      <xmlColumnPr mapId="41" xpath="/legal_numbering_exchange/head/level/level_description/text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1E6909-4834-4A85-91D6-22B777BABE2B}" name="TableNOMDef" displayName="TableNOMDef" ref="A2:B3" tableType="xml" insertRow="1" totalsRowShown="0">
  <autoFilter ref="A2:B3" xr:uid="{EB1E6909-4834-4A85-91D6-22B777BABE2B}"/>
  <tableColumns count="2">
    <tableColumn id="7" xr3:uid="{F65A9FEA-6528-489E-8FD0-4EC4CA58B914}" uniqueName="iso_country_code" name="iso_country_code">
      <xmlColumnPr mapId="42" xpath="/legal_numbering_exchange/head/countries/iso_country_code" xmlDataType="string"/>
    </tableColumn>
    <tableColumn id="9" xr3:uid="{3A1BF589-13F9-41A2-AFBE-A802D547BA09}" uniqueName="text" name="schema_definition">
      <xmlColumnPr mapId="42" xpath="/legal_numbering_exchange/head/schema_description/text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B2053B-5197-42D1-9EDE-9B0F97F87A45}" name="ExpHSCA" displayName="ExpHSCA" ref="A5:F6" tableType="queryTable" insertRow="1" totalsRowShown="0">
  <autoFilter ref="A5:F6" xr:uid="{D2B2053B-5197-42D1-9EDE-9B0F97F87A45}"/>
  <tableColumns count="6">
    <tableColumn id="1" xr3:uid="{66AA809A-4C30-416D-8601-C8FF4CB68B32}" uniqueName="1" name="Start date" queryTableFieldId="127" dataDxfId="10"/>
    <tableColumn id="2" xr3:uid="{2A787EBB-9BB5-42BD-B640-F14F26C81C4F}" uniqueName="2" name="End date" queryTableFieldId="128" dataDxfId="9"/>
    <tableColumn id="3" xr3:uid="{35C36BA3-F5C5-471E-9E4F-1AD255F3CAAF}" uniqueName="3" name="HS8_Code" queryTableFieldId="129" dataDxfId="8"/>
    <tableColumn id="6" xr3:uid="{F1A6F7B7-E244-4783-A0E6-C39058BE2231}" uniqueName="6" name="HS8_Unit_of_Measure_Code" queryTableFieldId="132" dataDxfId="7"/>
    <tableColumn id="4" xr3:uid="{7C472637-7BA5-4000-B40B-EB3098C3E1BD}" uniqueName="4" name="HS8_Edesc" queryTableFieldId="130" dataDxfId="6"/>
    <tableColumn id="5" xr3:uid="{2ADCA5B8-4B8D-4B25-861E-F9EEEE2175B5}" uniqueName="5" name="HS8_Fdesc" queryTableFieldId="131" dataDxf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308D11-BEAC-4723-8484-85D57F883470}" name="ExpHSUS" displayName="ExpHSUS" ref="A5:E6" tableType="queryTable" insertRow="1" totalsRowShown="0">
  <autoFilter ref="A5:E6" xr:uid="{47308D11-BEAC-4723-8484-85D57F883470}"/>
  <tableColumns count="5">
    <tableColumn id="1" xr3:uid="{8D0F3601-A064-4E24-9D56-56E58D12187E}" uniqueName="1" name="valid_from" queryTableFieldId="134" dataDxfId="4"/>
    <tableColumn id="2" xr3:uid="{EB17018E-919F-4258-AEAC-31FEC64C0403}" uniqueName="2" name="valid_to" queryTableFieldId="135" dataDxfId="3"/>
    <tableColumn id="3" xr3:uid="{FE90FAA8-F161-4050-A3CD-76023F17B904}" uniqueName="3" name="hs" queryTableFieldId="136" dataDxfId="2"/>
    <tableColumn id="4" xr3:uid="{1D030993-291D-4B92-8A74-CC3DF0DF4D24}" uniqueName="4" name="UOM" queryTableFieldId="137" dataDxfId="1"/>
    <tableColumn id="5" xr3:uid="{AED171C6-F99D-4A5F-9EA6-3D36CADC149B}" uniqueName="5" name="full_description" queryTableFieldId="13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42221-1865-4AC7-ABEA-E1C37A4A8DFB}">
  <sheetPr codeName="shtMenu"/>
  <dimension ref="B2:J13"/>
  <sheetViews>
    <sheetView showGridLines="0" tabSelected="1" zoomScaleNormal="100" workbookViewId="0">
      <selection activeCell="H10" sqref="H10"/>
    </sheetView>
  </sheetViews>
  <sheetFormatPr defaultColWidth="11.5546875" defaultRowHeight="14.4" x14ac:dyDescent="0.3"/>
  <cols>
    <col min="1" max="1" width="4.33203125" customWidth="1"/>
    <col min="2" max="2" width="11.44140625" customWidth="1"/>
    <col min="3" max="3" width="15.88671875" bestFit="1" customWidth="1"/>
    <col min="4" max="4" width="5.6640625" customWidth="1"/>
    <col min="5" max="5" width="18.88671875" bestFit="1" customWidth="1"/>
    <col min="6" max="6" width="17.5546875" bestFit="1" customWidth="1"/>
    <col min="7" max="7" width="5.6640625" customWidth="1"/>
    <col min="8" max="8" width="40.44140625" bestFit="1" customWidth="1"/>
    <col min="9" max="9" width="5.6640625" customWidth="1"/>
    <col min="10" max="10" width="40.44140625" bestFit="1" customWidth="1"/>
  </cols>
  <sheetData>
    <row r="2" spans="2:10" x14ac:dyDescent="0.3">
      <c r="H2" t="s">
        <v>15</v>
      </c>
      <c r="J2" t="s">
        <v>33</v>
      </c>
    </row>
    <row r="4" spans="2:10" x14ac:dyDescent="0.3">
      <c r="B4" t="s">
        <v>10</v>
      </c>
      <c r="C4" s="6"/>
      <c r="H4">
        <f>SUBTOTAL(103,TableFileListNOM[NOM File List])</f>
        <v>0</v>
      </c>
      <c r="J4">
        <f>SUBTOTAL(103,TableFileListTXT[TXT File List])</f>
        <v>0</v>
      </c>
    </row>
    <row r="5" spans="2:10" x14ac:dyDescent="0.3">
      <c r="E5" s="11" t="s">
        <v>9</v>
      </c>
      <c r="F5" s="11"/>
    </row>
    <row r="6" spans="2:10" x14ac:dyDescent="0.3">
      <c r="E6" s="5" t="s">
        <v>38</v>
      </c>
      <c r="F6" s="4" t="s">
        <v>41</v>
      </c>
    </row>
    <row r="7" spans="2:10" x14ac:dyDescent="0.3">
      <c r="B7" t="s">
        <v>10</v>
      </c>
      <c r="C7" s="6"/>
      <c r="E7" s="5" t="s">
        <v>8</v>
      </c>
      <c r="F7" s="4">
        <v>2000</v>
      </c>
    </row>
    <row r="8" spans="2:10" x14ac:dyDescent="0.3">
      <c r="C8" s="6"/>
      <c r="E8" s="5" t="s">
        <v>13</v>
      </c>
      <c r="F8" s="4">
        <v>25</v>
      </c>
    </row>
    <row r="9" spans="2:10" x14ac:dyDescent="0.3">
      <c r="C9" s="6"/>
    </row>
    <row r="10" spans="2:10" x14ac:dyDescent="0.3">
      <c r="B10" t="s">
        <v>10</v>
      </c>
      <c r="C10" s="6"/>
      <c r="E10" t="s">
        <v>14</v>
      </c>
    </row>
    <row r="11" spans="2:10" x14ac:dyDescent="0.3">
      <c r="E11" s="8" t="str">
        <f>IF(COUNT(_xlfn.UNIQUE(TableNOM[version_number]))&gt;1,"ERROR: MORE THAN 1 VERSION NUMBER IMPORTED IN NOM","NOM OK")</f>
        <v>NOM OK</v>
      </c>
    </row>
    <row r="13" spans="2:10" x14ac:dyDescent="0.3">
      <c r="B13" t="s">
        <v>10</v>
      </c>
      <c r="C13" s="6"/>
    </row>
  </sheetData>
  <dataConsolidate/>
  <mergeCells count="1">
    <mergeCell ref="E5:F5"/>
  </mergeCells>
  <conditionalFormatting sqref="E11">
    <cfRule type="expression" dxfId="12" priority="2">
      <formula>IF(_xlfn.IFNA(MATCH("*OK",ErrorNOM,0),FALSE),FALSE,TRUE)</formula>
    </cfRule>
  </conditionalFormatting>
  <dataValidations xWindow="568" yWindow="384" count="3">
    <dataValidation type="whole" showInputMessage="1" showErrorMessage="1" errorTitle="Wrong Year Value" error="You must enter a year value between 1900 and 9999." promptTitle="Year" prompt="Enter the year in YYYY format" sqref="F7" xr:uid="{1D4DA07D-55B5-428E-AA32-0AABF4C3093E}">
      <formula1>1900</formula1>
      <formula2>9999</formula2>
    </dataValidation>
    <dataValidation type="whole" showInputMessage="1" showErrorMessage="1" errorTitle="Wrong Chapter Value" error="You must enter a chapter value between 1 and 99." promptTitle="Minimum chapter number" prompt="Select the minimum chapter number to process. Lower chapter entries will be removed" sqref="F8" xr:uid="{9A7A2ADA-4224-4A9B-A3B9-10E6748B6588}">
      <formula1>1</formula1>
      <formula2>99</formula2>
    </dataValidation>
    <dataValidation type="list" allowBlank="1" showInputMessage="1" showErrorMessage="1" errorTitle="Wrong Country Value" error="You must select a country from the dropdown list." promptTitle="Country" prompt="Select a country from the drop down list." sqref="F6" xr:uid="{5D9E468A-4929-46EA-B9E4-2BD839BA8773}">
      <formula1>"CA, US,"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ImportXmlNOM">
                <anchor moveWithCells="1" sizeWithCells="1">
                  <from>
                    <xdr:col>1</xdr:col>
                    <xdr:colOff>7620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5" name="Button 13">
              <controlPr defaultSize="0" print="0" autoFill="0" autoPict="0" macro="[0]!GenerateOutput">
                <anchor moveWithCells="1" siz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3</xdr:col>
                    <xdr:colOff>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6" name="Button 19">
              <controlPr defaultSize="0" print="0" autoFill="0" autoPict="0" macro="[0]!ClearAll">
                <anchor moveWithCells="1" sizeWithCells="1">
                  <from>
                    <xdr:col>11</xdr:col>
                    <xdr:colOff>7620</xdr:colOff>
                    <xdr:row>1</xdr:row>
                    <xdr:rowOff>7620</xdr:rowOff>
                  </from>
                  <to>
                    <xdr:col>13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7" name="Button 20">
              <controlPr defaultSize="0" print="0" autoFill="0" autoPict="0" macro="[0]!ExecuteAll">
                <anchor moveWithCells="1" sizeWithCells="1">
                  <from>
                    <xdr:col>4</xdr:col>
                    <xdr:colOff>7620</xdr:colOff>
                    <xdr:row>1</xdr:row>
                    <xdr:rowOff>7620</xdr:rowOff>
                  </from>
                  <to>
                    <xdr:col>6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8" name="Button 23">
              <controlPr defaultSize="0" print="0" autoFill="0" autoPict="0" macro="[0]!DataCleansingNOM">
                <anchor moveWithCells="1" sizeWithCells="1">
                  <from>
                    <xdr:col>1</xdr:col>
                    <xdr:colOff>7620</xdr:colOff>
                    <xdr:row>4</xdr:row>
                    <xdr:rowOff>7620</xdr:rowOff>
                  </from>
                  <to>
                    <xdr:col>3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9" name="Button 25">
              <controlPr defaultSize="0" print="0" autoFill="0" autoPict="0" macro="[0]!ImportXmlTXT">
                <anchor moveWithCells="1" sizeWithCells="1">
                  <from>
                    <xdr:col>1</xdr:col>
                    <xdr:colOff>7620</xdr:colOff>
                    <xdr:row>7</xdr:row>
                    <xdr:rowOff>7620</xdr:rowOff>
                  </from>
                  <to>
                    <xdr:col>3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16D13-8B10-4C51-8BAC-305ED1B18DB5}">
  <sheetPr codeName="shtNOM"/>
  <dimension ref="A1:T4"/>
  <sheetViews>
    <sheetView showGridLines="0" workbookViewId="0">
      <selection activeCell="A4" sqref="A4:T10495"/>
    </sheetView>
  </sheetViews>
  <sheetFormatPr defaultColWidth="11.5546875" defaultRowHeight="14.4" x14ac:dyDescent="0.3"/>
  <cols>
    <col min="1" max="1" width="15.5546875" bestFit="1" customWidth="1"/>
    <col min="2" max="2" width="14.88671875" bestFit="1" customWidth="1"/>
    <col min="3" max="3" width="17.88671875" bestFit="1" customWidth="1"/>
    <col min="4" max="4" width="15.5546875" bestFit="1" customWidth="1"/>
    <col min="5" max="5" width="9.5546875" bestFit="1" customWidth="1"/>
    <col min="6" max="7" width="11" bestFit="1" customWidth="1"/>
    <col min="8" max="8" width="11.88671875" bestFit="1" customWidth="1"/>
    <col min="9" max="9" width="10.44140625" bestFit="1" customWidth="1"/>
    <col min="10" max="10" width="12.88671875" bestFit="1" customWidth="1"/>
    <col min="11" max="11" width="10.44140625" bestFit="1" customWidth="1"/>
    <col min="12" max="14" width="18" bestFit="1" customWidth="1"/>
    <col min="15" max="15" width="17.33203125" bestFit="1" customWidth="1"/>
    <col min="16" max="16" width="81.109375" bestFit="1" customWidth="1"/>
    <col min="17" max="17" width="10.88671875" bestFit="1" customWidth="1"/>
    <col min="18" max="18" width="18.109375" bestFit="1" customWidth="1"/>
    <col min="19" max="19" width="15.88671875" bestFit="1" customWidth="1"/>
    <col min="20" max="20" width="14.33203125" bestFit="1" customWidth="1"/>
    <col min="21" max="37" width="12.5546875" customWidth="1"/>
  </cols>
  <sheetData>
    <row r="1" spans="1:20" x14ac:dyDescent="0.3">
      <c r="B1" s="7" t="s">
        <v>7</v>
      </c>
      <c r="C1" s="7" t="s">
        <v>11</v>
      </c>
    </row>
    <row r="2" spans="1:20" x14ac:dyDescent="0.3">
      <c r="B2" s="7">
        <f>COUNTA(TableNOM[version])</f>
        <v>0</v>
      </c>
      <c r="C2" s="7">
        <f>COUNT(_xlfn.UNIQUE(TableNOM[version_number]))</f>
        <v>0</v>
      </c>
    </row>
    <row r="3" spans="1:20" x14ac:dyDescent="0.3">
      <c r="A3" t="s">
        <v>2</v>
      </c>
      <c r="B3" t="s">
        <v>3</v>
      </c>
      <c r="C3" t="s">
        <v>4</v>
      </c>
      <c r="D3" t="s">
        <v>5</v>
      </c>
      <c r="E3" t="s">
        <v>16</v>
      </c>
      <c r="F3" t="s">
        <v>12</v>
      </c>
      <c r="G3" t="s">
        <v>22</v>
      </c>
      <c r="H3" t="s">
        <v>23</v>
      </c>
      <c r="I3" t="s">
        <v>6</v>
      </c>
      <c r="J3" t="s">
        <v>0</v>
      </c>
      <c r="K3" t="s">
        <v>1</v>
      </c>
      <c r="L3" t="s">
        <v>24</v>
      </c>
      <c r="M3" t="s">
        <v>25</v>
      </c>
      <c r="N3" t="s">
        <v>26</v>
      </c>
      <c r="O3" t="s">
        <v>36</v>
      </c>
      <c r="P3" t="s">
        <v>27</v>
      </c>
      <c r="Q3" t="s">
        <v>18</v>
      </c>
      <c r="R3" t="s">
        <v>19</v>
      </c>
      <c r="S3" t="s">
        <v>20</v>
      </c>
      <c r="T3" t="s">
        <v>21</v>
      </c>
    </row>
    <row r="4" spans="1:20" x14ac:dyDescent="0.3">
      <c r="A4" s="1"/>
      <c r="B4" s="2"/>
      <c r="F4" s="1"/>
      <c r="G4" s="1"/>
      <c r="H4" s="1"/>
      <c r="J4" s="2"/>
      <c r="K4" s="2"/>
      <c r="L4" s="1"/>
      <c r="M4" s="1"/>
      <c r="N4" s="1"/>
      <c r="O4" s="1"/>
      <c r="P4" s="1"/>
      <c r="Q4" s="1"/>
      <c r="R4" s="1"/>
      <c r="S4" s="2"/>
      <c r="T4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C9A0-5463-4010-BBB2-AF2B61EA28B8}">
  <sheetPr codeName="shtDefinitions"/>
  <dimension ref="A2:K3"/>
  <sheetViews>
    <sheetView showGridLines="0" workbookViewId="0">
      <selection activeCell="A3" sqref="A3"/>
    </sheetView>
  </sheetViews>
  <sheetFormatPr defaultColWidth="11.5546875" defaultRowHeight="14.4" x14ac:dyDescent="0.3"/>
  <cols>
    <col min="1" max="1" width="19" bestFit="1" customWidth="1"/>
    <col min="2" max="2" width="20" bestFit="1" customWidth="1"/>
    <col min="3" max="3" width="4.33203125" customWidth="1"/>
    <col min="4" max="4" width="10.88671875" style="7" bestFit="1" customWidth="1"/>
    <col min="5" max="5" width="18.109375" bestFit="1" customWidth="1"/>
    <col min="6" max="6" width="15.88671875" style="7" bestFit="1" customWidth="1"/>
    <col min="7" max="7" width="14.33203125" bestFit="1" customWidth="1"/>
    <col min="8" max="8" width="81.109375" bestFit="1" customWidth="1"/>
    <col min="9" max="9" width="4.33203125" customWidth="1"/>
    <col min="10" max="10" width="10.44140625" bestFit="1" customWidth="1"/>
    <col min="11" max="11" width="12.33203125" bestFit="1" customWidth="1"/>
    <col min="12" max="12" width="11.6640625" bestFit="1" customWidth="1"/>
    <col min="13" max="13" width="11.5546875" customWidth="1"/>
    <col min="14" max="14" width="11.33203125" bestFit="1" customWidth="1"/>
    <col min="15" max="15" width="6.88671875" bestFit="1" customWidth="1"/>
    <col min="16" max="16" width="10.44140625" bestFit="1" customWidth="1"/>
    <col min="17" max="17" width="9" bestFit="1" customWidth="1"/>
    <col min="18" max="18" width="11.6640625" bestFit="1" customWidth="1"/>
    <col min="19" max="19" width="8.44140625" bestFit="1" customWidth="1"/>
    <col min="20" max="21" width="12.33203125" bestFit="1" customWidth="1"/>
    <col min="22" max="22" width="10.88671875" bestFit="1" customWidth="1"/>
    <col min="23" max="23" width="18.109375" bestFit="1" customWidth="1"/>
    <col min="24" max="24" width="14.6640625" bestFit="1" customWidth="1"/>
    <col min="25" max="25" width="10.88671875" bestFit="1" customWidth="1"/>
    <col min="26" max="26" width="15.88671875" bestFit="1" customWidth="1"/>
    <col min="27" max="27" width="14.33203125" bestFit="1" customWidth="1"/>
    <col min="28" max="28" width="12.33203125" bestFit="1" customWidth="1"/>
    <col min="29" max="29" width="81.109375" bestFit="1" customWidth="1"/>
  </cols>
  <sheetData>
    <row r="2" spans="1:11" x14ac:dyDescent="0.3">
      <c r="A2" t="s">
        <v>34</v>
      </c>
      <c r="B2" t="s">
        <v>35</v>
      </c>
      <c r="D2" t="s">
        <v>18</v>
      </c>
      <c r="E2" t="s">
        <v>19</v>
      </c>
      <c r="F2" t="s">
        <v>20</v>
      </c>
      <c r="G2" t="s">
        <v>21</v>
      </c>
      <c r="H2" t="s">
        <v>17</v>
      </c>
      <c r="J2" t="s">
        <v>6</v>
      </c>
      <c r="K2" t="s">
        <v>17</v>
      </c>
    </row>
    <row r="3" spans="1:11" x14ac:dyDescent="0.3">
      <c r="A3" s="1"/>
      <c r="B3" s="1"/>
      <c r="D3" s="1"/>
      <c r="E3" s="1"/>
      <c r="F3" s="2"/>
      <c r="G3" s="2"/>
      <c r="H3" s="9"/>
      <c r="K3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C20D-2D7E-4106-841C-A536DD831416}">
  <sheetPr codeName="shtExpHSCA"/>
  <dimension ref="A2:F6"/>
  <sheetViews>
    <sheetView showGridLines="0" workbookViewId="0">
      <selection activeCell="D10" sqref="D10"/>
    </sheetView>
  </sheetViews>
  <sheetFormatPr defaultColWidth="11.5546875" defaultRowHeight="14.4" x14ac:dyDescent="0.3"/>
  <cols>
    <col min="1" max="1" width="11.88671875" bestFit="1" customWidth="1"/>
    <col min="2" max="2" width="11" bestFit="1" customWidth="1"/>
    <col min="3" max="3" width="12.109375" bestFit="1" customWidth="1"/>
    <col min="4" max="4" width="29.109375" bestFit="1" customWidth="1"/>
    <col min="5" max="5" width="81.109375" bestFit="1" customWidth="1"/>
    <col min="6" max="6" width="12.5546875" bestFit="1" customWidth="1"/>
    <col min="7" max="8" width="9" bestFit="1" customWidth="1"/>
    <col min="9" max="9" width="13.44140625" bestFit="1" customWidth="1"/>
    <col min="10" max="10" width="36.44140625" bestFit="1" customWidth="1"/>
    <col min="11" max="11" width="6.6640625" bestFit="1" customWidth="1"/>
    <col min="12" max="12" width="7.44140625" bestFit="1" customWidth="1"/>
    <col min="13" max="13" width="15" bestFit="1" customWidth="1"/>
    <col min="14" max="14" width="21.88671875" bestFit="1" customWidth="1"/>
    <col min="15" max="15" width="10.33203125" bestFit="1" customWidth="1"/>
    <col min="16" max="16" width="21" bestFit="1" customWidth="1"/>
    <col min="17" max="17" width="14.88671875" bestFit="1" customWidth="1"/>
    <col min="18" max="18" width="9.6640625" bestFit="1" customWidth="1"/>
    <col min="19" max="19" width="8.6640625" bestFit="1" customWidth="1"/>
    <col min="20" max="26" width="8.88671875" bestFit="1" customWidth="1"/>
    <col min="27" max="27" width="8.6640625" bestFit="1" customWidth="1"/>
    <col min="28" max="34" width="9.88671875" bestFit="1" customWidth="1"/>
    <col min="35" max="36" width="17.5546875" bestFit="1" customWidth="1"/>
    <col min="37" max="37" width="11.6640625" bestFit="1" customWidth="1"/>
    <col min="38" max="39" width="11.44140625" bestFit="1" customWidth="1"/>
    <col min="40" max="40" width="13.44140625" bestFit="1" customWidth="1"/>
    <col min="41" max="41" width="14.5546875" bestFit="1" customWidth="1"/>
    <col min="42" max="42" width="11.109375" bestFit="1" customWidth="1"/>
    <col min="43" max="43" width="10.5546875" bestFit="1" customWidth="1"/>
    <col min="44" max="44" width="15" bestFit="1" customWidth="1"/>
    <col min="45" max="45" width="11.44140625" bestFit="1" customWidth="1"/>
    <col min="46" max="46" width="10.109375" bestFit="1" customWidth="1"/>
    <col min="47" max="47" width="9.88671875" bestFit="1" customWidth="1"/>
    <col min="48" max="48" width="10.109375" bestFit="1" customWidth="1"/>
    <col min="49" max="49" width="9.88671875" bestFit="1" customWidth="1"/>
    <col min="50" max="52" width="9.88671875" customWidth="1"/>
    <col min="53" max="53" width="12" bestFit="1" customWidth="1"/>
    <col min="54" max="54" width="10.6640625" bestFit="1" customWidth="1"/>
    <col min="55" max="55" width="10.44140625" bestFit="1" customWidth="1"/>
    <col min="56" max="56" width="24.5546875" bestFit="1" customWidth="1"/>
    <col min="57" max="57" width="12" bestFit="1" customWidth="1"/>
    <col min="58" max="58" width="10.6640625" bestFit="1" customWidth="1"/>
    <col min="59" max="59" width="10.44140625" bestFit="1" customWidth="1"/>
    <col min="60" max="60" width="24.5546875" bestFit="1" customWidth="1"/>
    <col min="61" max="61" width="12" bestFit="1" customWidth="1"/>
    <col min="62" max="62" width="10.6640625" bestFit="1" customWidth="1"/>
    <col min="63" max="63" width="10.44140625" bestFit="1" customWidth="1"/>
    <col min="64" max="64" width="24.5546875" customWidth="1"/>
    <col min="65" max="65" width="15.44140625" bestFit="1" customWidth="1"/>
    <col min="66" max="66" width="13.33203125" bestFit="1" customWidth="1"/>
    <col min="67" max="67" width="19" bestFit="1" customWidth="1"/>
    <col min="68" max="68" width="20" bestFit="1" customWidth="1"/>
    <col min="69" max="69" width="25" bestFit="1" customWidth="1"/>
    <col min="70" max="70" width="81.109375" bestFit="1" customWidth="1"/>
    <col min="71" max="71" width="20.109375" bestFit="1" customWidth="1"/>
    <col min="72" max="72" width="28.6640625" bestFit="1" customWidth="1"/>
    <col min="73" max="73" width="14.5546875" bestFit="1" customWidth="1"/>
    <col min="74" max="74" width="10.88671875" bestFit="1" customWidth="1"/>
    <col min="75" max="75" width="12.109375" bestFit="1" customWidth="1"/>
    <col min="76" max="76" width="8" bestFit="1" customWidth="1"/>
    <col min="77" max="77" width="22" bestFit="1" customWidth="1"/>
    <col min="78" max="78" width="24.5546875" bestFit="1" customWidth="1"/>
    <col min="79" max="79" width="23.33203125" bestFit="1" customWidth="1"/>
    <col min="80" max="80" width="24.6640625" bestFit="1" customWidth="1"/>
    <col min="81" max="81" width="20.44140625" bestFit="1" customWidth="1"/>
    <col min="82" max="82" width="81.109375" bestFit="1" customWidth="1"/>
    <col min="83" max="83" width="11.6640625" bestFit="1" customWidth="1"/>
    <col min="84" max="84" width="18.44140625" bestFit="1" customWidth="1"/>
    <col min="85" max="85" width="19.6640625" bestFit="1" customWidth="1"/>
  </cols>
  <sheetData>
    <row r="2" spans="1:6" x14ac:dyDescent="0.3">
      <c r="E2" t="s">
        <v>39</v>
      </c>
    </row>
    <row r="3" spans="1:6" x14ac:dyDescent="0.3">
      <c r="E3" s="10">
        <f>COUNTA(ExpHSCA[HS8_Code])</f>
        <v>0</v>
      </c>
    </row>
    <row r="5" spans="1:6" x14ac:dyDescent="0.3">
      <c r="A5" t="s">
        <v>28</v>
      </c>
      <c r="B5" t="s">
        <v>29</v>
      </c>
      <c r="C5" t="s">
        <v>30</v>
      </c>
      <c r="D5" t="s">
        <v>37</v>
      </c>
      <c r="E5" t="s">
        <v>31</v>
      </c>
      <c r="F5" t="s">
        <v>32</v>
      </c>
    </row>
    <row r="6" spans="1:6" x14ac:dyDescent="0.3">
      <c r="A6" s="3"/>
      <c r="B6" s="3"/>
      <c r="C6" s="3"/>
      <c r="D6" s="3"/>
      <c r="E6" s="3"/>
      <c r="F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4" name="Button 5">
              <controlPr defaultSize="0" print="0" autoFill="0" autoPict="0" macro="[0]!ExportHS">
                <anchor moveWithCells="1" sizeWithCells="1">
                  <from>
                    <xdr:col>0</xdr:col>
                    <xdr:colOff>297180</xdr:colOff>
                    <xdr:row>1</xdr:row>
                    <xdr:rowOff>7620</xdr:rowOff>
                  </from>
                  <to>
                    <xdr:col>3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ACDC4-2EEF-4F16-83C4-125F1265C845}">
  <sheetPr codeName="shtExpHSUS"/>
  <dimension ref="A2:E6"/>
  <sheetViews>
    <sheetView showGridLines="0" workbookViewId="0">
      <selection activeCell="E17" sqref="E17"/>
    </sheetView>
  </sheetViews>
  <sheetFormatPr defaultColWidth="11.5546875" defaultRowHeight="14.4" x14ac:dyDescent="0.3"/>
  <cols>
    <col min="1" max="1" width="12.88671875" bestFit="1" customWidth="1"/>
    <col min="2" max="2" width="10.44140625" bestFit="1" customWidth="1"/>
    <col min="3" max="3" width="11" bestFit="1" customWidth="1"/>
    <col min="4" max="4" width="8" bestFit="1" customWidth="1"/>
    <col min="5" max="5" width="81.109375" bestFit="1" customWidth="1"/>
    <col min="6" max="6" width="11.5546875" bestFit="1" customWidth="1"/>
    <col min="7" max="7" width="10.6640625" bestFit="1" customWidth="1"/>
    <col min="8" max="8" width="11.6640625" bestFit="1" customWidth="1"/>
    <col min="9" max="9" width="28.33203125" bestFit="1" customWidth="1"/>
    <col min="10" max="11" width="12.33203125" bestFit="1" customWidth="1"/>
    <col min="12" max="13" width="9" bestFit="1" customWidth="1"/>
    <col min="14" max="14" width="13.44140625" bestFit="1" customWidth="1"/>
    <col min="15" max="15" width="36.44140625" bestFit="1" customWidth="1"/>
    <col min="16" max="16" width="6.6640625" bestFit="1" customWidth="1"/>
    <col min="17" max="17" width="7.44140625" bestFit="1" customWidth="1"/>
    <col min="18" max="18" width="15" bestFit="1" customWidth="1"/>
    <col min="19" max="19" width="21.88671875" bestFit="1" customWidth="1"/>
    <col min="20" max="20" width="10.33203125" bestFit="1" customWidth="1"/>
    <col min="21" max="21" width="21" bestFit="1" customWidth="1"/>
    <col min="22" max="22" width="14.88671875" bestFit="1" customWidth="1"/>
    <col min="23" max="23" width="9.6640625" bestFit="1" customWidth="1"/>
    <col min="24" max="24" width="8.6640625" bestFit="1" customWidth="1"/>
    <col min="25" max="31" width="8.88671875" bestFit="1" customWidth="1"/>
    <col min="32" max="32" width="8.6640625" bestFit="1" customWidth="1"/>
    <col min="33" max="39" width="9.88671875" bestFit="1" customWidth="1"/>
    <col min="40" max="41" width="17.5546875" bestFit="1" customWidth="1"/>
    <col min="42" max="42" width="11.6640625" bestFit="1" customWidth="1"/>
    <col min="43" max="44" width="11.44140625" bestFit="1" customWidth="1"/>
    <col min="45" max="45" width="13.44140625" bestFit="1" customWidth="1"/>
    <col min="46" max="46" width="14.5546875" bestFit="1" customWidth="1"/>
    <col min="47" max="47" width="11.109375" bestFit="1" customWidth="1"/>
    <col min="48" max="48" width="10.5546875" bestFit="1" customWidth="1"/>
    <col min="49" max="49" width="15" bestFit="1" customWidth="1"/>
    <col min="50" max="50" width="11.44140625" bestFit="1" customWidth="1"/>
    <col min="51" max="51" width="10.109375" bestFit="1" customWidth="1"/>
    <col min="52" max="52" width="9.88671875" bestFit="1" customWidth="1"/>
    <col min="53" max="53" width="10.109375" bestFit="1" customWidth="1"/>
    <col min="54" max="54" width="9.88671875" bestFit="1" customWidth="1"/>
    <col min="55" max="57" width="9.88671875" customWidth="1"/>
    <col min="58" max="58" width="12" bestFit="1" customWidth="1"/>
    <col min="59" max="59" width="10.6640625" bestFit="1" customWidth="1"/>
    <col min="60" max="60" width="10.44140625" bestFit="1" customWidth="1"/>
    <col min="61" max="61" width="24.5546875" bestFit="1" customWidth="1"/>
    <col min="62" max="62" width="12" bestFit="1" customWidth="1"/>
    <col min="63" max="63" width="10.6640625" bestFit="1" customWidth="1"/>
    <col min="64" max="64" width="10.44140625" bestFit="1" customWidth="1"/>
    <col min="65" max="65" width="24.5546875" bestFit="1" customWidth="1"/>
    <col min="66" max="66" width="12" bestFit="1" customWidth="1"/>
    <col min="67" max="67" width="10.6640625" bestFit="1" customWidth="1"/>
    <col min="68" max="68" width="10.44140625" bestFit="1" customWidth="1"/>
    <col min="69" max="69" width="24.5546875" customWidth="1"/>
    <col min="70" max="70" width="15.44140625" bestFit="1" customWidth="1"/>
    <col min="71" max="71" width="13.33203125" bestFit="1" customWidth="1"/>
    <col min="72" max="72" width="19" bestFit="1" customWidth="1"/>
    <col min="73" max="73" width="20" bestFit="1" customWidth="1"/>
    <col min="74" max="74" width="25" bestFit="1" customWidth="1"/>
    <col min="75" max="75" width="81.109375" bestFit="1" customWidth="1"/>
    <col min="76" max="76" width="20.109375" bestFit="1" customWidth="1"/>
    <col min="77" max="77" width="28.6640625" bestFit="1" customWidth="1"/>
    <col min="78" max="78" width="14.5546875" bestFit="1" customWidth="1"/>
    <col min="79" max="79" width="10.88671875" bestFit="1" customWidth="1"/>
    <col min="80" max="80" width="12.109375" bestFit="1" customWidth="1"/>
    <col min="81" max="81" width="8" bestFit="1" customWidth="1"/>
    <col min="82" max="82" width="22" bestFit="1" customWidth="1"/>
    <col min="83" max="83" width="24.5546875" bestFit="1" customWidth="1"/>
    <col min="84" max="84" width="23.33203125" bestFit="1" customWidth="1"/>
    <col min="85" max="85" width="24.6640625" bestFit="1" customWidth="1"/>
    <col min="86" max="86" width="20.44140625" bestFit="1" customWidth="1"/>
    <col min="87" max="87" width="81.109375" bestFit="1" customWidth="1"/>
    <col min="88" max="88" width="11.6640625" bestFit="1" customWidth="1"/>
    <col min="89" max="89" width="18.44140625" bestFit="1" customWidth="1"/>
    <col min="90" max="90" width="19.6640625" bestFit="1" customWidth="1"/>
  </cols>
  <sheetData>
    <row r="2" spans="1:5" x14ac:dyDescent="0.3">
      <c r="E2" t="s">
        <v>39</v>
      </c>
    </row>
    <row r="3" spans="1:5" x14ac:dyDescent="0.3">
      <c r="E3" s="10">
        <f>COUNTA(ExpHSUS[hs])</f>
        <v>0</v>
      </c>
    </row>
    <row r="5" spans="1:5" x14ac:dyDescent="0.3">
      <c r="A5" t="s">
        <v>0</v>
      </c>
      <c r="B5" t="s">
        <v>1</v>
      </c>
      <c r="C5" t="s">
        <v>12</v>
      </c>
      <c r="D5" t="s">
        <v>40</v>
      </c>
      <c r="E5" t="s">
        <v>36</v>
      </c>
    </row>
    <row r="6" spans="1:5" x14ac:dyDescent="0.3">
      <c r="A6" s="2"/>
      <c r="B6" s="2"/>
      <c r="C6" s="3"/>
      <c r="D6" s="3"/>
      <c r="E6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ExportHS">
                <anchor moveWithCells="1" sizeWithCells="1">
                  <from>
                    <xdr:col>0</xdr:col>
                    <xdr:colOff>297180</xdr:colOff>
                    <xdr:row>1</xdr:row>
                    <xdr:rowOff>7620</xdr:rowOff>
                  </from>
                  <to>
                    <xdr:col>3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F346EA-399F-44D2-BB8B-D3B1931565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Menu</vt:lpstr>
      <vt:lpstr>NOM</vt:lpstr>
      <vt:lpstr>Definitions</vt:lpstr>
      <vt:lpstr>ExpHSCA</vt:lpstr>
      <vt:lpstr>ExpHSUS</vt:lpstr>
      <vt:lpstr>Country</vt:lpstr>
      <vt:lpstr>ErrorNOM</vt:lpstr>
      <vt:lpstr>LastCleansingNOM</vt:lpstr>
      <vt:lpstr>LastGenOutput</vt:lpstr>
      <vt:lpstr>LastImportNOM</vt:lpstr>
      <vt:lpstr>LastImportTXT</vt:lpstr>
      <vt:lpstr>MinChapter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Martel-Labranche , Pier-Luc</dc:creator>
  <cp:lastModifiedBy>Laure Delambre</cp:lastModifiedBy>
  <dcterms:created xsi:type="dcterms:W3CDTF">2022-09-05T15:40:57Z</dcterms:created>
  <dcterms:modified xsi:type="dcterms:W3CDTF">2024-02-26T19:45:59Z</dcterms:modified>
</cp:coreProperties>
</file>